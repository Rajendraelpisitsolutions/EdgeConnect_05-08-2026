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Cases'!$A$1:$M$68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28" customHeight="1">
      <c r="A1" s="1" t="inlineStr">
        <is>
          <t>QA Test Plan Tracker — Modbus → EdgeConnect → OPC UA Server pipeline</t>
        </is>
      </c>
    </row>
    <row r="2">
      <c r="A2" s="2" t="inlineStr">
        <is>
          <t>Source plan: docs/qa/2026-05-27-modbus-to-opcua-pipeline-qa-plan.md</t>
        </is>
      </c>
    </row>
    <row r="3">
      <c r="A3" s="2" t="inlineStr">
        <is>
          <t>Branch: claude/m2d4-impl (post-M.2d.4)  ·  Date: 2026-05-27</t>
        </is>
      </c>
    </row>
    <row r="5" ht="22" customHeight="1">
      <c r="A5" s="3" t="inlineStr">
        <is>
          <t>Summary statistics</t>
        </is>
      </c>
    </row>
    <row r="6">
      <c r="A6" s="4" t="inlineStr">
        <is>
          <t>Metric</t>
        </is>
      </c>
      <c r="B6" s="4" t="inlineStr">
        <is>
          <t>P1</t>
        </is>
      </c>
      <c r="C6" s="4" t="inlineStr">
        <is>
          <t>P2</t>
        </is>
      </c>
      <c r="D6" s="4" t="inlineStr">
        <is>
          <t>P3</t>
        </is>
      </c>
      <c r="E6" s="4" t="inlineStr">
        <is>
          <t>Total</t>
        </is>
      </c>
    </row>
    <row r="7">
      <c r="A7" s="5" t="inlineStr">
        <is>
          <t>Total cases</t>
        </is>
      </c>
      <c r="B7" s="6">
        <f>COUNTIF('Test Cases'!C:C,"P1")</f>
        <v/>
      </c>
      <c r="C7" s="6">
        <f>COUNTIF('Test Cases'!C:C,"P2")</f>
        <v/>
      </c>
      <c r="D7" s="6">
        <f>COUNTIF('Test Cases'!C:C,"P3")</f>
        <v/>
      </c>
      <c r="E7" s="7">
        <f>SUM(B7:D7)</f>
        <v/>
      </c>
    </row>
    <row r="8">
      <c r="A8" s="5" t="inlineStr">
        <is>
          <t>Pass</t>
        </is>
      </c>
      <c r="B8" s="6">
        <f>COUNTIFS('Test Cases'!C:C,"P1",'Test Cases'!H:H,"Pass")</f>
        <v/>
      </c>
      <c r="C8" s="6">
        <f>COUNTIFS('Test Cases'!C:C,"P2",'Test Cases'!H:H,"Pass")</f>
        <v/>
      </c>
      <c r="D8" s="6">
        <f>COUNTIFS('Test Cases'!C:C,"P3",'Test Cases'!H:H,"Pass")</f>
        <v/>
      </c>
      <c r="E8" s="7">
        <f>SUM(B8:D8)</f>
        <v/>
      </c>
    </row>
    <row r="9">
      <c r="A9" s="5" t="inlineStr">
        <is>
          <t>Fail</t>
        </is>
      </c>
      <c r="B9" s="6">
        <f>COUNTIFS('Test Cases'!C:C,"P1",'Test Cases'!H:H,"Fail")</f>
        <v/>
      </c>
      <c r="C9" s="6">
        <f>COUNTIFS('Test Cases'!C:C,"P2",'Test Cases'!H:H,"Fail")</f>
        <v/>
      </c>
      <c r="D9" s="6">
        <f>COUNTIFS('Test Cases'!C:C,"P3",'Test Cases'!H:H,"Fail")</f>
        <v/>
      </c>
      <c r="E9" s="7">
        <f>SUM(B9:D9)</f>
        <v/>
      </c>
    </row>
    <row r="10">
      <c r="A10" s="5" t="inlineStr">
        <is>
          <t>Blocked</t>
        </is>
      </c>
      <c r="B10" s="6">
        <f>COUNTIFS('Test Cases'!C:C,"P1",'Test Cases'!H:H,"Blocked")</f>
        <v/>
      </c>
      <c r="C10" s="6">
        <f>COUNTIFS('Test Cases'!C:C,"P2",'Test Cases'!H:H,"Blocked")</f>
        <v/>
      </c>
      <c r="D10" s="6">
        <f>COUNTIFS('Test Cases'!C:C,"P3",'Test Cases'!H:H,"Blocked")</f>
        <v/>
      </c>
      <c r="E10" s="7">
        <f>SUM(B10:D10)</f>
        <v/>
      </c>
    </row>
    <row r="11">
      <c r="A11" s="5" t="inlineStr">
        <is>
          <t>Not Run</t>
        </is>
      </c>
      <c r="B11" s="6">
        <f>COUNTIFS('Test Cases'!C:C,"P1",'Test Cases'!H:H,"Not Run")</f>
        <v/>
      </c>
      <c r="C11" s="6">
        <f>COUNTIFS('Test Cases'!C:C,"P2",'Test Cases'!H:H,"Not Run")</f>
        <v/>
      </c>
      <c r="D11" s="6">
        <f>COUNTIFS('Test Cases'!C:C,"P3",'Test Cases'!H:H,"Not Run")</f>
        <v/>
      </c>
      <c r="E11" s="7">
        <f>SUM(B11:D11)</f>
        <v/>
      </c>
    </row>
    <row r="12">
      <c r="A12" s="5" t="inlineStr">
        <is>
          <t>N/A</t>
        </is>
      </c>
      <c r="B12" s="6">
        <f>COUNTIFS('Test Cases'!C:C,"P1",'Test Cases'!H:H,"N/A")</f>
        <v/>
      </c>
      <c r="C12" s="6">
        <f>COUNTIFS('Test Cases'!C:C,"P2",'Test Cases'!H:H,"N/A")</f>
        <v/>
      </c>
      <c r="D12" s="6">
        <f>COUNTIFS('Test Cases'!C:C,"P3",'Test Cases'!H:H,"N/A")</f>
        <v/>
      </c>
      <c r="E12" s="7">
        <f>SUM(B12:D12)</f>
        <v/>
      </c>
    </row>
    <row r="13">
      <c r="A13" s="8" t="inlineStr">
        <is>
          <t>Pass %</t>
        </is>
      </c>
      <c r="B13" s="9">
        <f>IFERROR(B8/B7,0)</f>
        <v/>
      </c>
      <c r="C13" s="9">
        <f>IFERROR(C8/C7,0)</f>
        <v/>
      </c>
      <c r="D13" s="9">
        <f>IFERROR(D8/D7,0)</f>
        <v/>
      </c>
      <c r="E13" s="9">
        <f>IFERROR(E8/E7,0)</f>
        <v/>
      </c>
    </row>
    <row r="15" ht="22" customHeight="1">
      <c r="A15" s="3" t="inlineStr">
        <is>
          <t>By category</t>
        </is>
      </c>
    </row>
    <row r="16">
      <c r="A16" s="4" t="inlineStr">
        <is>
          <t>Category</t>
        </is>
      </c>
      <c r="B16" s="4" t="inlineStr">
        <is>
          <t>Total</t>
        </is>
      </c>
      <c r="C16" s="4" t="inlineStr">
        <is>
          <t>Pass</t>
        </is>
      </c>
      <c r="D16" s="4" t="inlineStr">
        <is>
          <t>Fail</t>
        </is>
      </c>
      <c r="E16" s="4" t="inlineStr">
        <is>
          <t>Blocked</t>
        </is>
      </c>
      <c r="F16" s="4" t="inlineStr">
        <is>
          <t>Not Run</t>
        </is>
      </c>
      <c r="G16" s="4" t="inlineStr">
        <is>
          <t>Pass %</t>
        </is>
      </c>
    </row>
    <row r="17">
      <c r="A17" s="5" t="inlineStr">
        <is>
          <t>Functional</t>
        </is>
      </c>
      <c r="B17" s="6">
        <f>COUNTIF('Test Cases'!B:B,"Functional")</f>
        <v/>
      </c>
      <c r="C17" s="6">
        <f>COUNTIFS('Test Cases'!B:B,"Functional",'Test Cases'!H:H,"Pass")</f>
        <v/>
      </c>
      <c r="D17" s="6">
        <f>COUNTIFS('Test Cases'!B:B,"Functional",'Test Cases'!H:H,"Fail")</f>
        <v/>
      </c>
      <c r="E17" s="6">
        <f>COUNTIFS('Test Cases'!B:B,"Functional",'Test Cases'!H:H,"Blocked")</f>
        <v/>
      </c>
      <c r="F17" s="6">
        <f>COUNTIFS('Test Cases'!B:B,"Functional",'Test Cases'!H:H,"Not Run")</f>
        <v/>
      </c>
      <c r="G17" s="10">
        <f>IFERROR(C17/B17,0)</f>
        <v/>
      </c>
    </row>
    <row r="18">
      <c r="A18" s="5" t="inlineStr">
        <is>
          <t>Configuration</t>
        </is>
      </c>
      <c r="B18" s="6">
        <f>COUNTIF('Test Cases'!B:B,"Configuration")</f>
        <v/>
      </c>
      <c r="C18" s="6">
        <f>COUNTIFS('Test Cases'!B:B,"Configuration",'Test Cases'!H:H,"Pass")</f>
        <v/>
      </c>
      <c r="D18" s="6">
        <f>COUNTIFS('Test Cases'!B:B,"Configuration",'Test Cases'!H:H,"Fail")</f>
        <v/>
      </c>
      <c r="E18" s="6">
        <f>COUNTIFS('Test Cases'!B:B,"Configuration",'Test Cases'!H:H,"Blocked")</f>
        <v/>
      </c>
      <c r="F18" s="6">
        <f>COUNTIFS('Test Cases'!B:B,"Configuration",'Test Cases'!H:H,"Not Run")</f>
        <v/>
      </c>
      <c r="G18" s="10">
        <f>IFERROR(C18/B18,0)</f>
        <v/>
      </c>
    </row>
    <row r="19">
      <c r="A19" s="5" t="inlineStr">
        <is>
          <t>Performance</t>
        </is>
      </c>
      <c r="B19" s="6">
        <f>COUNTIF('Test Cases'!B:B,"Performance")</f>
        <v/>
      </c>
      <c r="C19" s="6">
        <f>COUNTIFS('Test Cases'!B:B,"Performance",'Test Cases'!H:H,"Pass")</f>
        <v/>
      </c>
      <c r="D19" s="6">
        <f>COUNTIFS('Test Cases'!B:B,"Performance",'Test Cases'!H:H,"Fail")</f>
        <v/>
      </c>
      <c r="E19" s="6">
        <f>COUNTIFS('Test Cases'!B:B,"Performance",'Test Cases'!H:H,"Blocked")</f>
        <v/>
      </c>
      <c r="F19" s="6">
        <f>COUNTIFS('Test Cases'!B:B,"Performance",'Test Cases'!H:H,"Not Run")</f>
        <v/>
      </c>
      <c r="G19" s="10">
        <f>IFERROR(C19/B19,0)</f>
        <v/>
      </c>
    </row>
    <row r="20">
      <c r="A20" s="5" t="inlineStr">
        <is>
          <t>Reliability</t>
        </is>
      </c>
      <c r="B20" s="6">
        <f>COUNTIF('Test Cases'!B:B,"Reliability")</f>
        <v/>
      </c>
      <c r="C20" s="6">
        <f>COUNTIFS('Test Cases'!B:B,"Reliability",'Test Cases'!H:H,"Pass")</f>
        <v/>
      </c>
      <c r="D20" s="6">
        <f>COUNTIFS('Test Cases'!B:B,"Reliability",'Test Cases'!H:H,"Fail")</f>
        <v/>
      </c>
      <c r="E20" s="6">
        <f>COUNTIFS('Test Cases'!B:B,"Reliability",'Test Cases'!H:H,"Blocked")</f>
        <v/>
      </c>
      <c r="F20" s="6">
        <f>COUNTIFS('Test Cases'!B:B,"Reliability",'Test Cases'!H:H,"Not Run")</f>
        <v/>
      </c>
      <c r="G20" s="10">
        <f>IFERROR(C20/B20,0)</f>
        <v/>
      </c>
    </row>
    <row r="21">
      <c r="A21" s="5" t="inlineStr">
        <is>
          <t>Recovery</t>
        </is>
      </c>
      <c r="B21" s="6">
        <f>COUNTIF('Test Cases'!B:B,"Recovery")</f>
        <v/>
      </c>
      <c r="C21" s="6">
        <f>COUNTIFS('Test Cases'!B:B,"Recovery",'Test Cases'!H:H,"Pass")</f>
        <v/>
      </c>
      <c r="D21" s="6">
        <f>COUNTIFS('Test Cases'!B:B,"Recovery",'Test Cases'!H:H,"Fail")</f>
        <v/>
      </c>
      <c r="E21" s="6">
        <f>COUNTIFS('Test Cases'!B:B,"Recovery",'Test Cases'!H:H,"Blocked")</f>
        <v/>
      </c>
      <c r="F21" s="6">
        <f>COUNTIFS('Test Cases'!B:B,"Recovery",'Test Cases'!H:H,"Not Run")</f>
        <v/>
      </c>
      <c r="G21" s="10">
        <f>IFERROR(C21/B21,0)</f>
        <v/>
      </c>
    </row>
    <row r="22">
      <c r="A22" s="5" t="inlineStr">
        <is>
          <t>Security</t>
        </is>
      </c>
      <c r="B22" s="6">
        <f>COUNTIF('Test Cases'!B:B,"Security")</f>
        <v/>
      </c>
      <c r="C22" s="6">
        <f>COUNTIFS('Test Cases'!B:B,"Security",'Test Cases'!H:H,"Pass")</f>
        <v/>
      </c>
      <c r="D22" s="6">
        <f>COUNTIFS('Test Cases'!B:B,"Security",'Test Cases'!H:H,"Fail")</f>
        <v/>
      </c>
      <c r="E22" s="6">
        <f>COUNTIFS('Test Cases'!B:B,"Security",'Test Cases'!H:H,"Blocked")</f>
        <v/>
      </c>
      <c r="F22" s="6">
        <f>COUNTIFS('Test Cases'!B:B,"Security",'Test Cases'!H:H,"Not Run")</f>
        <v/>
      </c>
      <c r="G22" s="10">
        <f>IFERROR(C22/B22,0)</f>
        <v/>
      </c>
    </row>
    <row r="23">
      <c r="A23" s="5" t="inlineStr">
        <is>
          <t>Diagnostics</t>
        </is>
      </c>
      <c r="B23" s="6">
        <f>COUNTIF('Test Cases'!B:B,"Diagnostics")</f>
        <v/>
      </c>
      <c r="C23" s="6">
        <f>COUNTIFS('Test Cases'!B:B,"Diagnostics",'Test Cases'!H:H,"Pass")</f>
        <v/>
      </c>
      <c r="D23" s="6">
        <f>COUNTIFS('Test Cases'!B:B,"Diagnostics",'Test Cases'!H:H,"Fail")</f>
        <v/>
      </c>
      <c r="E23" s="6">
        <f>COUNTIFS('Test Cases'!B:B,"Diagnostics",'Test Cases'!H:H,"Blocked")</f>
        <v/>
      </c>
      <c r="F23" s="6">
        <f>COUNTIFS('Test Cases'!B:B,"Diagnostics",'Test Cases'!H:H,"Not Run")</f>
        <v/>
      </c>
      <c r="G23" s="10">
        <f>IFERROR(C23/B23,0)</f>
        <v/>
      </c>
    </row>
    <row r="24">
      <c r="A24" s="5" t="inlineStr">
        <is>
          <t>UX/Wizard</t>
        </is>
      </c>
      <c r="B24" s="6">
        <f>COUNTIF('Test Cases'!B:B,"UX/Wizard")</f>
        <v/>
      </c>
      <c r="C24" s="6">
        <f>COUNTIFS('Test Cases'!B:B,"UX/Wizard",'Test Cases'!H:H,"Pass")</f>
        <v/>
      </c>
      <c r="D24" s="6">
        <f>COUNTIFS('Test Cases'!B:B,"UX/Wizard",'Test Cases'!H:H,"Fail")</f>
        <v/>
      </c>
      <c r="E24" s="6">
        <f>COUNTIFS('Test Cases'!B:B,"UX/Wizard",'Test Cases'!H:H,"Blocked")</f>
        <v/>
      </c>
      <c r="F24" s="6">
        <f>COUNTIFS('Test Cases'!B:B,"UX/Wizard",'Test Cases'!H:H,"Not Run")</f>
        <v/>
      </c>
      <c r="G24" s="10">
        <f>IFERROR(C24/B24,0)</f>
        <v/>
      </c>
    </row>
    <row r="25">
      <c r="A25" s="5" t="inlineStr">
        <is>
          <t>Edge</t>
        </is>
      </c>
      <c r="B25" s="6">
        <f>COUNTIF('Test Cases'!B:B,"Edge")</f>
        <v/>
      </c>
      <c r="C25" s="6">
        <f>COUNTIFS('Test Cases'!B:B,"Edge",'Test Cases'!H:H,"Pass")</f>
        <v/>
      </c>
      <c r="D25" s="6">
        <f>COUNTIFS('Test Cases'!B:B,"Edge",'Test Cases'!H:H,"Fail")</f>
        <v/>
      </c>
      <c r="E25" s="6">
        <f>COUNTIFS('Test Cases'!B:B,"Edge",'Test Cases'!H:H,"Blocked")</f>
        <v/>
      </c>
      <c r="F25" s="6">
        <f>COUNTIFS('Test Cases'!B:B,"Edge",'Test Cases'!H:H,"Not Run")</f>
        <v/>
      </c>
      <c r="G25" s="10">
        <f>IFERROR(C25/B25,0)</f>
        <v/>
      </c>
    </row>
    <row r="27">
      <c r="A27" s="3" t="inlineStr">
        <is>
          <t>Defect summary (by severity)</t>
        </is>
      </c>
    </row>
    <row r="28">
      <c r="A28" s="4" t="inlineStr">
        <is>
          <t>S1 (Blocker)</t>
        </is>
      </c>
      <c r="B28" s="4" t="inlineStr">
        <is>
          <t>S2 (Critical)</t>
        </is>
      </c>
      <c r="C28" s="4" t="inlineStr">
        <is>
          <t>S3 (Major)</t>
        </is>
      </c>
      <c r="D28" s="4" t="inlineStr">
        <is>
          <t>S4 (Minor)</t>
        </is>
      </c>
      <c r="E28" s="4" t="inlineStr">
        <is>
          <t>S5 (Trivial)</t>
        </is>
      </c>
      <c r="F28" s="4" t="inlineStr">
        <is>
          <t>Total</t>
        </is>
      </c>
    </row>
    <row r="29">
      <c r="A29" s="6">
        <f>COUNTIF('Test Cases'!I:I,"S1")</f>
        <v/>
      </c>
      <c r="B29" s="6">
        <f>COUNTIF('Test Cases'!I:I,"S2")</f>
        <v/>
      </c>
      <c r="C29" s="6">
        <f>COUNTIF('Test Cases'!I:I,"S3")</f>
        <v/>
      </c>
      <c r="D29" s="6">
        <f>COUNTIF('Test Cases'!I:I,"S4")</f>
        <v/>
      </c>
      <c r="E29" s="6">
        <f>COUNTIF('Test Cases'!I:I,"S5")</f>
        <v/>
      </c>
      <c r="F29" s="7">
        <f>SUM(A29:E29)</f>
        <v/>
      </c>
    </row>
    <row r="32">
      <c r="A32" s="3" t="inlineStr">
        <is>
          <t>Execution phases</t>
        </is>
      </c>
    </row>
    <row r="33">
      <c r="A33" s="11" t="inlineStr">
        <is>
          <t>Phase A — Smoke</t>
        </is>
      </c>
      <c r="B33" s="12" t="inlineStr">
        <is>
          <t>P1 cases only (~12 cases). Estimated 2 hours. Catches any blocker before deeper testing.</t>
        </is>
      </c>
    </row>
    <row r="34">
      <c r="A34" s="11" t="inlineStr">
        <is>
          <t>Phase B — Functional + Configuration</t>
        </is>
      </c>
      <c r="B34" s="12" t="inlineStr">
        <is>
          <t>All Functional + Configuration cases. Estimated 1 day.</t>
        </is>
      </c>
    </row>
    <row r="35">
      <c r="A35" s="11" t="inlineStr">
        <is>
          <t>Phase C — Reliability + Recovery + Performance</t>
        </is>
      </c>
      <c r="B35" s="12" t="inlineStr">
        <is>
          <t>Reliability (incl. 8-hour soak), Recovery, Performance. Estimated 1 day.</t>
        </is>
      </c>
    </row>
    <row r="36">
      <c r="A36" s="11" t="inlineStr">
        <is>
          <t>Phase D — Security + Diagnostics + UX + Edge</t>
        </is>
      </c>
      <c r="B36" s="12" t="inlineStr">
        <is>
          <t>Remaining categories. Estimated ½ day.</t>
        </is>
      </c>
    </row>
    <row r="38">
      <c r="A38" s="3" t="inlineStr">
        <is>
          <t>How to use this tracker</t>
        </is>
      </c>
    </row>
    <row r="39">
      <c r="A39" s="12" t="inlineStr">
        <is>
          <t>1. Test Cases sheet: pick a row, set the Result column (dropdown: Pass/Fail/Blocked/Not Run/N/A).</t>
        </is>
      </c>
    </row>
    <row r="40">
      <c r="A40" s="12" t="inlineStr">
        <is>
          <t>2. If Result=Fail, also fill Severity (S1..S5), Defect ID (link to bug tracker), and Notes.</t>
        </is>
      </c>
    </row>
    <row r="41">
      <c r="A41" s="12" t="inlineStr">
        <is>
          <t>3. Tester column = your name. Date Executed = the date you ran it (YYYY-MM-DD).</t>
        </is>
      </c>
    </row>
    <row r="42">
      <c r="A42" s="12" t="inlineStr">
        <is>
          <t>4. Pre-conditions and Steps are summaries — the full procedure lives in the QA plan markdown doc.</t>
        </is>
      </c>
    </row>
    <row r="43">
      <c r="A43" s="12" t="inlineStr">
        <is>
          <t>5. Cover sheet auto-updates as you fill in the Test Cases sheet (Excel formulas reference column C/H/I).</t>
        </is>
      </c>
    </row>
    <row r="44">
      <c r="A44" s="12" t="inlineStr">
        <is>
          <t>6. Cells use conditional formatting: Pass=green, Fail=red, Blocked=amber, Not Run=grey.</t>
        </is>
      </c>
    </row>
    <row r="45">
      <c r="A45" s="12" t="inlineStr">
        <is>
          <t>7. Exit gate: 100% P1 pass (no S1/S2 open) + ≥90% P2 pass + all P3 executed.</t>
        </is>
      </c>
    </row>
  </sheetData>
  <mergeCells count="14">
    <mergeCell ref="A41:F41"/>
    <mergeCell ref="A2:F2"/>
    <mergeCell ref="A42:F42"/>
    <mergeCell ref="B34:F34"/>
    <mergeCell ref="A44:F44"/>
    <mergeCell ref="B33:F33"/>
    <mergeCell ref="A1:F1"/>
    <mergeCell ref="A45:F45"/>
    <mergeCell ref="A40:F40"/>
    <mergeCell ref="B36:F36"/>
    <mergeCell ref="A3:F3"/>
    <mergeCell ref="A43:F43"/>
    <mergeCell ref="A39:F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5" customWidth="1" min="4" max="4"/>
    <col width="35" customWidth="1" min="5" max="5"/>
    <col width="60" customWidth="1" min="6" max="6"/>
    <col width="45" customWidth="1" min="7" max="7"/>
    <col width="13" customWidth="1" min="8" max="8"/>
    <col width="11" customWidth="1" min="9" max="9"/>
    <col width="14" customWidth="1" min="10" max="10"/>
    <col width="14" customWidth="1" min="11" max="11"/>
    <col width="16" customWidth="1" min="12" max="12"/>
    <col width="35" customWidth="1" min="13" max="13"/>
  </cols>
  <sheetData>
    <row r="1" ht="30" customHeight="1">
      <c r="A1" s="13" t="inlineStr">
        <is>
          <t>TC ID</t>
        </is>
      </c>
      <c r="B1" s="13" t="inlineStr">
        <is>
          <t>Category</t>
        </is>
      </c>
      <c r="C1" s="13" t="inlineStr">
        <is>
          <t>Priority</t>
        </is>
      </c>
      <c r="D1" s="13" t="inlineStr">
        <is>
          <t>Title</t>
        </is>
      </c>
      <c r="E1" s="13" t="inlineStr">
        <is>
          <t>Pre-conditions</t>
        </is>
      </c>
      <c r="F1" s="13" t="inlineStr">
        <is>
          <t>Steps (summary)</t>
        </is>
      </c>
      <c r="G1" s="13" t="inlineStr">
        <is>
          <t>Expected Result</t>
        </is>
      </c>
      <c r="H1" s="13" t="inlineStr">
        <is>
          <t>Result</t>
        </is>
      </c>
      <c r="I1" s="13" t="inlineStr">
        <is>
          <t>Severity</t>
        </is>
      </c>
      <c r="J1" s="13" t="inlineStr">
        <is>
          <t>Defect ID</t>
        </is>
      </c>
      <c r="K1" s="13" t="inlineStr">
        <is>
          <t>Tester</t>
        </is>
      </c>
      <c r="L1" s="13" t="inlineStr">
        <is>
          <t>Date Executed</t>
        </is>
      </c>
      <c r="M1" s="13" t="inlineStr">
        <is>
          <t>Notes</t>
        </is>
      </c>
    </row>
    <row r="2" ht="55" customHeight="1">
      <c r="A2" s="14" t="inlineStr">
        <is>
          <t>TC-F-001</t>
        </is>
      </c>
      <c r="B2" s="14" t="inlineStr">
        <is>
          <t>Functional</t>
        </is>
      </c>
      <c r="C2" s="15" t="inlineStr">
        <is>
          <t>P1</t>
        </is>
      </c>
      <c r="D2" s="14" t="inlineStr">
        <is>
          <t>Add Modbus source via wizard</t>
        </is>
      </c>
      <c r="E2" s="14" t="inlineStr">
        <is>
          <t>EdgeConnect + Modbus simulator running</t>
        </is>
      </c>
      <c r="F2" s="14" t="inlineStr">
        <is>
          <t>Sources tab → Add → Modbus → fill identity + connection + 3 tags → Save as draft → Config → Validate → Apply</t>
        </is>
      </c>
      <c r="G2" s="14" t="inlineStr">
        <is>
          <t>Wizard saves; source appears Running within 5s</t>
        </is>
      </c>
      <c r="H2" s="14" t="inlineStr">
        <is>
          <t>Not Run</t>
        </is>
      </c>
      <c r="I2" s="14" t="inlineStr"/>
      <c r="J2" s="14" t="inlineStr"/>
      <c r="K2" s="14" t="inlineStr"/>
      <c r="L2" s="14" t="inlineStr"/>
      <c r="M2" s="14" t="inlineStr"/>
    </row>
    <row r="3" ht="55" customHeight="1">
      <c r="A3" s="14" t="inlineStr">
        <is>
          <t>TC-F-002</t>
        </is>
      </c>
      <c r="B3" s="14" t="inlineStr">
        <is>
          <t>Functional</t>
        </is>
      </c>
      <c r="C3" s="15" t="inlineStr">
        <is>
          <t>P1</t>
        </is>
      </c>
      <c r="D3" s="14" t="inlineStr">
        <is>
          <t>Test Connection probe succeeds (valid host)</t>
        </is>
      </c>
      <c r="E3" s="14" t="inlineStr">
        <is>
          <t>Modbus simulator running on 127.0.0.1:5020</t>
        </is>
      </c>
      <c r="F3" s="14" t="inlineStr">
        <is>
          <t>Open Modbus source wizard; fill host=127.0.0.1, port=5020, unit=1; click Test Connection</t>
        </is>
      </c>
      <c r="G3" s="14" t="inlineStr">
        <is>
          <t>Inline result panel in Connection section, severity=Success, probe ID + elapsed ms shown</t>
        </is>
      </c>
      <c r="H3" s="14" t="inlineStr">
        <is>
          <t>Not Run</t>
        </is>
      </c>
      <c r="I3" s="14" t="inlineStr"/>
      <c r="J3" s="14" t="inlineStr"/>
      <c r="K3" s="14" t="inlineStr"/>
      <c r="L3" s="14" t="inlineStr"/>
      <c r="M3" s="14" t="inlineStr"/>
    </row>
    <row r="4" ht="55" customHeight="1">
      <c r="A4" s="14" t="inlineStr">
        <is>
          <t>TC-F-003</t>
        </is>
      </c>
      <c r="B4" s="14" t="inlineStr">
        <is>
          <t>Functional</t>
        </is>
      </c>
      <c r="C4" s="15" t="inlineStr">
        <is>
          <t>P1</t>
        </is>
      </c>
      <c r="D4" s="14" t="inlineStr">
        <is>
          <t>Test Connection probe fails (invalid host)</t>
        </is>
      </c>
      <c r="E4" s="14" t="inlineStr">
        <is>
          <t>—</t>
        </is>
      </c>
      <c r="F4" s="14" t="inlineStr">
        <is>
          <t>Open Modbus source wizard; host=192.0.2.1 (unreachable); click Test Connection</t>
        </is>
      </c>
      <c r="G4" s="14" t="inlineStr">
        <is>
          <t>Inline panel, severity=Error, MODBUS.CONNECT_TIMEOUT code + remediation hint</t>
        </is>
      </c>
      <c r="H4" s="14" t="inlineStr">
        <is>
          <t>Not Run</t>
        </is>
      </c>
      <c r="I4" s="14" t="inlineStr"/>
      <c r="J4" s="14" t="inlineStr"/>
      <c r="K4" s="14" t="inlineStr"/>
      <c r="L4" s="14" t="inlineStr"/>
      <c r="M4" s="14" t="inlineStr"/>
    </row>
    <row r="5" ht="55" customHeight="1">
      <c r="A5" s="14" t="inlineStr">
        <is>
          <t>TC-F-004</t>
        </is>
      </c>
      <c r="B5" s="14" t="inlineStr">
        <is>
          <t>Functional</t>
        </is>
      </c>
      <c r="C5" s="15" t="inlineStr">
        <is>
          <t>P1</t>
        </is>
      </c>
      <c r="D5" s="14" t="inlineStr">
        <is>
          <t>Add OPC UA Server destination</t>
        </is>
      </c>
      <c r="E5" s="14" t="inlineStr">
        <is>
          <t>EdgeConnect running</t>
        </is>
      </c>
      <c r="F5" s="14" t="inlineStr">
        <is>
          <t>Destinations tab → Add → OPC UA Server → fill endpoint URL + app URI → Security=None → Save → Apply</t>
        </is>
      </c>
      <c r="G5" s="14" t="inlineStr">
        <is>
          <t>Destination Running; netstat shows port 4840 listening</t>
        </is>
      </c>
      <c r="H5" s="14" t="inlineStr">
        <is>
          <t>Not Run</t>
        </is>
      </c>
      <c r="I5" s="14" t="inlineStr"/>
      <c r="J5" s="14" t="inlineStr"/>
      <c r="K5" s="14" t="inlineStr"/>
      <c r="L5" s="14" t="inlineStr"/>
      <c r="M5" s="14" t="inlineStr"/>
    </row>
    <row r="6" ht="55" customHeight="1">
      <c r="A6" s="14" t="inlineStr">
        <is>
          <t>TC-F-005</t>
        </is>
      </c>
      <c r="B6" s="14" t="inlineStr">
        <is>
          <t>Functional</t>
        </is>
      </c>
      <c r="C6" s="15" t="inlineStr">
        <is>
          <t>P1</t>
        </is>
      </c>
      <c r="D6" s="14" t="inlineStr">
        <is>
          <t>Create route wiring source → sink</t>
        </is>
      </c>
      <c r="E6" s="14" t="inlineStr">
        <is>
          <t>TC-F-001 + TC-F-004 done</t>
        </is>
      </c>
      <c r="F6" s="14" t="inlineStr">
        <is>
          <t>Routes tab → Add → pick source + sink → Save → Apply</t>
        </is>
      </c>
      <c r="G6" s="14" t="inlineStr">
        <is>
          <t>Route appears Running, no errors in diagnostics</t>
        </is>
      </c>
      <c r="H6" s="14" t="inlineStr">
        <is>
          <t>Not Run</t>
        </is>
      </c>
      <c r="I6" s="14" t="inlineStr"/>
      <c r="J6" s="14" t="inlineStr"/>
      <c r="K6" s="14" t="inlineStr"/>
      <c r="L6" s="14" t="inlineStr"/>
      <c r="M6" s="14" t="inlineStr"/>
    </row>
    <row r="7" ht="55" customHeight="1">
      <c r="A7" s="14" t="inlineStr">
        <is>
          <t>TC-F-006</t>
        </is>
      </c>
      <c r="B7" s="14" t="inlineStr">
        <is>
          <t>Functional</t>
        </is>
      </c>
      <c r="C7" s="15" t="inlineStr">
        <is>
          <t>P1</t>
        </is>
      </c>
      <c r="D7" s="14" t="inlineStr">
        <is>
          <t>Tags visible in UaExpert</t>
        </is>
      </c>
      <c r="E7" s="14" t="inlineStr">
        <is>
          <t>Pipeline configured per F-001..F-005</t>
        </is>
      </c>
      <c r="F7" s="14" t="inlineStr">
        <is>
          <t>Open UaExpert; add server opc.tcp://localhost:4840/edgeconnect; Security=None; Anonymous; Connect; browse Objects → EdgeConnect → plc → modbus-sim-1</t>
        </is>
      </c>
      <c r="G7" s="14" t="inlineStr">
        <is>
          <t>All 3 tags appear with correct OPC UA datatypes</t>
        </is>
      </c>
      <c r="H7" s="14" t="inlineStr">
        <is>
          <t>Not Run</t>
        </is>
      </c>
      <c r="I7" s="14" t="inlineStr"/>
      <c r="J7" s="14" t="inlineStr"/>
      <c r="K7" s="14" t="inlineStr"/>
      <c r="L7" s="14" t="inlineStr"/>
      <c r="M7" s="14" t="inlineStr"/>
    </row>
    <row r="8" ht="55" customHeight="1">
      <c r="A8" s="14" t="inlineStr">
        <is>
          <t>TC-F-007</t>
        </is>
      </c>
      <c r="B8" s="14" t="inlineStr">
        <is>
          <t>Functional</t>
        </is>
      </c>
      <c r="C8" s="15" t="inlineStr">
        <is>
          <t>P1</t>
        </is>
      </c>
      <c r="D8" s="14" t="inlineStr">
        <is>
          <t>Tag values update live in UaExpert</t>
        </is>
      </c>
      <c r="E8" s="14" t="inlineStr">
        <is>
          <t>TC-F-006 done</t>
        </is>
      </c>
      <c r="F8" s="14" t="inlineStr">
        <is>
          <t>Drag tags to Data Access View; observe 60s</t>
        </is>
      </c>
      <c r="G8" s="14" t="inlineStr">
        <is>
          <t>Values update at ~scan-rate cadence; no Bad quality; timestamps present</t>
        </is>
      </c>
      <c r="H8" s="14" t="inlineStr">
        <is>
          <t>Not Run</t>
        </is>
      </c>
      <c r="I8" s="14" t="inlineStr"/>
      <c r="J8" s="14" t="inlineStr"/>
      <c r="K8" s="14" t="inlineStr"/>
      <c r="L8" s="14" t="inlineStr"/>
      <c r="M8" s="14" t="inlineStr"/>
    </row>
    <row r="9" ht="55" customHeight="1">
      <c r="A9" s="14" t="inlineStr">
        <is>
          <t>TC-F-008</t>
        </is>
      </c>
      <c r="B9" s="14" t="inlineStr">
        <is>
          <t>Functional</t>
        </is>
      </c>
      <c r="C9" s="16" t="inlineStr">
        <is>
          <t>P2</t>
        </is>
      </c>
      <c r="D9" s="14" t="inlineStr">
        <is>
          <t>All 4 register classes decode correctly</t>
        </is>
      </c>
      <c r="E9" s="14" t="inlineStr">
        <is>
          <t>—</t>
        </is>
      </c>
      <c r="F9" s="14" t="inlineStr">
        <is>
          <t>Configure source with tags from Coil, DI, HR, IR classes; wire to OPC UA; subscribe in UaExpert</t>
        </is>
      </c>
      <c r="G9" s="14" t="inlineStr">
        <is>
          <t>All 4 tags correct; bools = Boolean datatype (not Int32)</t>
        </is>
      </c>
      <c r="H9" s="14" t="inlineStr">
        <is>
          <t>Not Run</t>
        </is>
      </c>
      <c r="I9" s="14" t="inlineStr"/>
      <c r="J9" s="14" t="inlineStr"/>
      <c r="K9" s="14" t="inlineStr"/>
      <c r="L9" s="14" t="inlineStr"/>
      <c r="M9" s="14" t="inlineStr"/>
    </row>
    <row r="10" ht="55" customHeight="1">
      <c r="A10" s="14" t="inlineStr">
        <is>
          <t>TC-F-009</t>
        </is>
      </c>
      <c r="B10" s="14" t="inlineStr">
        <is>
          <t>Functional</t>
        </is>
      </c>
      <c r="C10" s="16" t="inlineStr">
        <is>
          <t>P2</t>
        </is>
      </c>
      <c r="D10" s="14" t="inlineStr">
        <is>
          <t>Byte order variations decode correctly</t>
        </is>
      </c>
      <c r="E10" s="14" t="inlineStr">
        <is>
          <t>—</t>
        </is>
      </c>
      <c r="F10" s="14" t="inlineStr">
        <is>
          <t>Configure tags with AB, ABCD, CDAB, BADC orders; subscribe in UaExpert; cross-check with pymodbus snippet</t>
        </is>
      </c>
      <c r="G10" s="14" t="inlineStr">
        <is>
          <t>parts_count = 1,234,567; floats not NaN; values match raw reads</t>
        </is>
      </c>
      <c r="H10" s="14" t="inlineStr">
        <is>
          <t>Not Run</t>
        </is>
      </c>
      <c r="I10" s="14" t="inlineStr"/>
      <c r="J10" s="14" t="inlineStr"/>
      <c r="K10" s="14" t="inlineStr"/>
      <c r="L10" s="14" t="inlineStr"/>
      <c r="M10" s="14" t="inlineStr"/>
    </row>
    <row r="11" ht="55" customHeight="1">
      <c r="A11" s="14" t="inlineStr">
        <is>
          <t>TC-F-010</t>
        </is>
      </c>
      <c r="B11" s="14" t="inlineStr">
        <is>
          <t>Functional</t>
        </is>
      </c>
      <c r="C11" s="16" t="inlineStr">
        <is>
          <t>P2</t>
        </is>
      </c>
      <c r="D11" s="14" t="inlineStr">
        <is>
          <t>Scale + offset applied to temperature</t>
        </is>
      </c>
      <c r="E11" s="14" t="inlineStr">
        <is>
          <t>Simulator running (raw IR:0 = 420)</t>
        </is>
      </c>
      <c r="F11" s="14" t="inlineStr">
        <is>
          <t>Add temperature tag with scale=0.1; subscribe in UaExpert</t>
        </is>
      </c>
      <c r="G11" s="14" t="inlineStr">
        <is>
          <t>Value shows as 42.0 (NOT 420). Change scale to 1.0 → value becomes 420.0</t>
        </is>
      </c>
      <c r="H11" s="14" t="inlineStr">
        <is>
          <t>Not Run</t>
        </is>
      </c>
      <c r="I11" s="14" t="inlineStr"/>
      <c r="J11" s="14" t="inlineStr"/>
      <c r="K11" s="14" t="inlineStr"/>
      <c r="L11" s="14" t="inlineStr"/>
      <c r="M11" s="14" t="inlineStr"/>
    </row>
    <row r="12" ht="55" customHeight="1">
      <c r="A12" s="14" t="inlineStr">
        <is>
          <t>TC-F-011</t>
        </is>
      </c>
      <c r="B12" s="14" t="inlineStr">
        <is>
          <t>Functional</t>
        </is>
      </c>
      <c r="C12" s="16" t="inlineStr">
        <is>
          <t>P2</t>
        </is>
      </c>
      <c r="D12" s="14" t="inlineStr">
        <is>
          <t>String tags decoded</t>
        </is>
      </c>
      <c r="E12" s="14" t="inlineStr">
        <is>
          <t>—</t>
        </is>
      </c>
      <c r="F12" s="14" t="inlineStr">
        <is>
          <t>Add 'mode' (string16) and 'part_name' (string8); subscribe</t>
        </is>
      </c>
      <c r="G12" s="14" t="inlineStr">
        <is>
          <t>mode='AUTO' (possibly padded); part_name='SHAFT-7X'; OPC UA datatype=String</t>
        </is>
      </c>
      <c r="H12" s="14" t="inlineStr">
        <is>
          <t>Not Run</t>
        </is>
      </c>
      <c r="I12" s="14" t="inlineStr"/>
      <c r="J12" s="14" t="inlineStr"/>
      <c r="K12" s="14" t="inlineStr"/>
      <c r="L12" s="14" t="inlineStr"/>
      <c r="M12" s="14" t="inlineStr"/>
    </row>
    <row r="13" ht="55" customHeight="1">
      <c r="A13" s="14" t="inlineStr">
        <is>
          <t>TC-F-012</t>
        </is>
      </c>
      <c r="B13" s="14" t="inlineStr">
        <is>
          <t>Functional</t>
        </is>
      </c>
      <c r="C13" s="15" t="inlineStr">
        <is>
          <t>P1</t>
        </is>
      </c>
      <c r="D13" s="14" t="inlineStr">
        <is>
          <t>Edit source via pencil icon</t>
        </is>
      </c>
      <c r="E13" s="14" t="inlineStr">
        <is>
          <t>modbus-sim-1 exists</t>
        </is>
      </c>
      <c r="F13" s="14" t="inlineStr">
        <is>
          <t>Sources tab → pencil → wizard pre-fills → change PollIntervalMs 1000→500 → Save changes</t>
        </is>
      </c>
      <c r="G13" s="14" t="inlineStr">
        <is>
          <t>Navigates to source detail; snackbar confirms; UaExpert update frequency doubles</t>
        </is>
      </c>
      <c r="H13" s="14" t="inlineStr">
        <is>
          <t>Not Run</t>
        </is>
      </c>
      <c r="I13" s="14" t="inlineStr"/>
      <c r="J13" s="14" t="inlineStr"/>
      <c r="K13" s="14" t="inlineStr"/>
      <c r="L13" s="14" t="inlineStr"/>
      <c r="M13" s="14" t="inlineStr"/>
    </row>
    <row r="14" ht="55" customHeight="1">
      <c r="A14" s="14" t="inlineStr">
        <is>
          <t>TC-F-013</t>
        </is>
      </c>
      <c r="B14" s="14" t="inlineStr">
        <is>
          <t>Functional</t>
        </is>
      </c>
      <c r="C14" s="16" t="inlineStr">
        <is>
          <t>P2</t>
        </is>
      </c>
      <c r="D14" s="14" t="inlineStr">
        <is>
          <t>Edit sink via pencil icon</t>
        </is>
      </c>
      <c r="E14" s="14" t="inlineStr">
        <is>
          <t>opcua-edge exists</t>
        </is>
      </c>
      <c r="F14" s="14" t="inlineStr">
        <is>
          <t>Destinations tab → pencil → change RootFolder → Save changes</t>
        </is>
      </c>
      <c r="G14" s="14" t="inlineStr">
        <is>
          <t>UaExpert rebrowse shows new RootFolder name; old tree gone</t>
        </is>
      </c>
      <c r="H14" s="14" t="inlineStr">
        <is>
          <t>Not Run</t>
        </is>
      </c>
      <c r="I14" s="14" t="inlineStr"/>
      <c r="J14" s="14" t="inlineStr"/>
      <c r="K14" s="14" t="inlineStr"/>
      <c r="L14" s="14" t="inlineStr"/>
      <c r="M14" s="14" t="inlineStr"/>
    </row>
    <row r="15" ht="55" customHeight="1">
      <c r="A15" s="14" t="inlineStr">
        <is>
          <t>TC-F-014</t>
        </is>
      </c>
      <c r="B15" s="14" t="inlineStr">
        <is>
          <t>Functional</t>
        </is>
      </c>
      <c r="C15" s="16" t="inlineStr">
        <is>
          <t>P2</t>
        </is>
      </c>
      <c r="D15" s="14" t="inlineStr">
        <is>
          <t>Edit route via pencil icon</t>
        </is>
      </c>
      <c r="E15" s="14" t="inlineStr">
        <is>
          <t>Route exists</t>
        </is>
      </c>
      <c r="F15" s="14" t="inlineStr">
        <is>
          <t>Routes tab → pencil → verify InstanceId disabled → Cancel</t>
        </is>
      </c>
      <c r="G15" s="14" t="inlineStr">
        <is>
          <t>RouteId disabled with helper text; Cancel discards everything</t>
        </is>
      </c>
      <c r="H15" s="14" t="inlineStr">
        <is>
          <t>Not Run</t>
        </is>
      </c>
      <c r="I15" s="14" t="inlineStr"/>
      <c r="J15" s="14" t="inlineStr"/>
      <c r="K15" s="14" t="inlineStr"/>
      <c r="L15" s="14" t="inlineStr"/>
      <c r="M15" s="14" t="inlineStr"/>
    </row>
    <row r="16" ht="55" customHeight="1">
      <c r="A16" s="14" t="inlineStr">
        <is>
          <t>TC-F-015</t>
        </is>
      </c>
      <c r="B16" s="14" t="inlineStr">
        <is>
          <t>Functional</t>
        </is>
      </c>
      <c r="C16" s="15" t="inlineStr">
        <is>
          <t>P1</t>
        </is>
      </c>
      <c r="D16" s="14" t="inlineStr">
        <is>
          <t>Disable source stops data flow</t>
        </is>
      </c>
      <c r="E16" s="14" t="inlineStr">
        <is>
          <t>Pipeline running</t>
        </is>
      </c>
      <c r="F16" s="14" t="inlineStr">
        <is>
          <t>Sources tab → Disable on modbus-sim-1 → confirm</t>
        </is>
      </c>
      <c r="G16" s="14" t="inlineStr">
        <is>
          <t>Within 2s: State=Stopped; UaExpert tag quality goes BadNoCommunication/Uncertain</t>
        </is>
      </c>
      <c r="H16" s="14" t="inlineStr">
        <is>
          <t>Not Run</t>
        </is>
      </c>
      <c r="I16" s="14" t="inlineStr"/>
      <c r="J16" s="14" t="inlineStr"/>
      <c r="K16" s="14" t="inlineStr"/>
      <c r="L16" s="14" t="inlineStr"/>
      <c r="M16" s="14" t="inlineStr"/>
    </row>
    <row r="17" ht="55" customHeight="1">
      <c r="A17" s="14" t="inlineStr">
        <is>
          <t>TC-F-016</t>
        </is>
      </c>
      <c r="B17" s="14" t="inlineStr">
        <is>
          <t>Functional</t>
        </is>
      </c>
      <c r="C17" s="15" t="inlineStr">
        <is>
          <t>P1</t>
        </is>
      </c>
      <c r="D17" s="14" t="inlineStr">
        <is>
          <t>Re-enable source resumes flow</t>
        </is>
      </c>
      <c r="E17" s="14" t="inlineStr">
        <is>
          <t>TC-F-015 done</t>
        </is>
      </c>
      <c r="F17" s="14" t="inlineStr">
        <is>
          <t>Click Enable on the row</t>
        </is>
      </c>
      <c r="G17" s="14" t="inlineStr">
        <is>
          <t>Within 5s: State=Running; UaExpert tags resume updating</t>
        </is>
      </c>
      <c r="H17" s="14" t="inlineStr">
        <is>
          <t>Not Run</t>
        </is>
      </c>
      <c r="I17" s="14" t="inlineStr"/>
      <c r="J17" s="14" t="inlineStr"/>
      <c r="K17" s="14" t="inlineStr"/>
      <c r="L17" s="14" t="inlineStr"/>
      <c r="M17" s="14" t="inlineStr"/>
    </row>
    <row r="18" ht="55" customHeight="1">
      <c r="A18" s="14" t="inlineStr">
        <is>
          <t>TC-F-017</t>
        </is>
      </c>
      <c r="B18" s="14" t="inlineStr">
        <is>
          <t>Functional</t>
        </is>
      </c>
      <c r="C18" s="16" t="inlineStr">
        <is>
          <t>P2</t>
        </is>
      </c>
      <c r="D18" s="14" t="inlineStr">
        <is>
          <t>Fanout to multiple sinks</t>
        </is>
      </c>
      <c r="E18" s="14" t="inlineStr">
        <is>
          <t>Mosquitto running on localhost:1883</t>
        </is>
      </c>
      <c r="F18" s="14" t="inlineStr">
        <is>
          <t>Add MQTT sink; edit route → add MQTT to sinks (multi-select) → Apply; subscribe via UaExpert AND mosquitto_sub</t>
        </is>
      </c>
      <c r="G18" s="14" t="inlineStr">
        <is>
          <t>Both subscribers receive independently; killing one doesn't affect the other</t>
        </is>
      </c>
      <c r="H18" s="14" t="inlineStr">
        <is>
          <t>Not Run</t>
        </is>
      </c>
      <c r="I18" s="14" t="inlineStr"/>
      <c r="J18" s="14" t="inlineStr"/>
      <c r="K18" s="14" t="inlineStr"/>
      <c r="L18" s="14" t="inlineStr"/>
      <c r="M18" s="14" t="inlineStr"/>
    </row>
    <row r="19" ht="55" customHeight="1">
      <c r="A19" s="14" t="inlineStr">
        <is>
          <t>TC-F-018</t>
        </is>
      </c>
      <c r="B19" s="14" t="inlineStr">
        <is>
          <t>Functional</t>
        </is>
      </c>
      <c r="C19" s="16" t="inlineStr">
        <is>
          <t>P2</t>
        </is>
      </c>
      <c r="D19" s="14" t="inlineStr">
        <is>
          <t>Validation banner shows errors before save</t>
        </is>
      </c>
      <c r="E19" s="14" t="inlineStr">
        <is>
          <t>—</t>
        </is>
      </c>
      <c r="F19" s="14" t="inlineStr">
        <is>
          <t>Open any wizard; clear InstanceId; observe banner above sections</t>
        </is>
      </c>
      <c r="G19" s="14" t="inlineStr">
        <is>
          <t>WizardValidationBanner appears, severity=Error, lists missing field</t>
        </is>
      </c>
      <c r="H19" s="14" t="inlineStr">
        <is>
          <t>Not Run</t>
        </is>
      </c>
      <c r="I19" s="14" t="inlineStr"/>
      <c r="J19" s="14" t="inlineStr"/>
      <c r="K19" s="14" t="inlineStr"/>
      <c r="L19" s="14" t="inlineStr"/>
      <c r="M19" s="14" t="inlineStr"/>
    </row>
    <row r="20" ht="55" customHeight="1">
      <c r="A20" s="14" t="inlineStr">
        <is>
          <t>TC-F-019</t>
        </is>
      </c>
      <c r="B20" s="14" t="inlineStr">
        <is>
          <t>Functional</t>
        </is>
      </c>
      <c r="C20" s="16" t="inlineStr">
        <is>
          <t>P2</t>
        </is>
      </c>
      <c r="D20" s="14" t="inlineStr">
        <is>
          <t>Validation banner scroll-to-field</t>
        </is>
      </c>
      <c r="E20" s="14" t="inlineStr">
        <is>
          <t>—</t>
        </is>
      </c>
      <c r="F20" s="14" t="inlineStr">
        <is>
          <t>Open wizard with errors; scroll past Section 4; click a message in banner</t>
        </is>
      </c>
      <c r="G20" s="14" t="inlineStr">
        <is>
          <t>Page smoothly scrolls to referenced field; field gains focus</t>
        </is>
      </c>
      <c r="H20" s="14" t="inlineStr">
        <is>
          <t>Not Run</t>
        </is>
      </c>
      <c r="I20" s="14" t="inlineStr"/>
      <c r="J20" s="14" t="inlineStr"/>
      <c r="K20" s="14" t="inlineStr"/>
      <c r="L20" s="14" t="inlineStr"/>
      <c r="M20" s="14" t="inlineStr"/>
    </row>
    <row r="21" ht="55" customHeight="1">
      <c r="A21" s="14" t="inlineStr">
        <is>
          <t>TC-F-020</t>
        </is>
      </c>
      <c r="B21" s="14" t="inlineStr">
        <is>
          <t>Functional</t>
        </is>
      </c>
      <c r="C21" s="16" t="inlineStr">
        <is>
          <t>P2</t>
        </is>
      </c>
      <c r="D21" s="14" t="inlineStr">
        <is>
          <t>StaleEditWarningBanner on concurrent edit</t>
        </is>
      </c>
      <c r="E21" s="14" t="inlineStr">
        <is>
          <t>Two browser tabs</t>
        </is>
      </c>
      <c r="F21" s="14" t="inlineStr">
        <is>
          <t>Both tabs at /destinations/opcua-edge/edit. Tab 1: change field + Save. Tab 2: change different field + Save</t>
        </is>
      </c>
      <c r="G21" s="14" t="inlineStr">
        <is>
          <t>Tab 1 succeeds; Tab 2 shows StaleEditWarningBanner with versions + formatted timestamp + Reload</t>
        </is>
      </c>
      <c r="H21" s="14" t="inlineStr">
        <is>
          <t>Not Run</t>
        </is>
      </c>
      <c r="I21" s="14" t="inlineStr"/>
      <c r="J21" s="14" t="inlineStr"/>
      <c r="K21" s="14" t="inlineStr"/>
      <c r="L21" s="14" t="inlineStr"/>
      <c r="M21" s="14" t="inlineStr"/>
    </row>
    <row r="22" ht="55" customHeight="1">
      <c r="A22" s="14" t="inlineStr">
        <is>
          <t>TC-C-001</t>
        </is>
      </c>
      <c r="B22" s="14" t="inlineStr">
        <is>
          <t>Configuration</t>
        </is>
      </c>
      <c r="C22" s="15" t="inlineStr">
        <is>
          <t>P1</t>
        </is>
      </c>
      <c r="D22" s="14" t="inlineStr">
        <is>
          <t>Draft → Validate → Apply → Rollback cycle</t>
        </is>
      </c>
      <c r="E22" s="14" t="inlineStr">
        <is>
          <t>—</t>
        </is>
      </c>
      <c r="F22" s="14" t="inlineStr">
        <is>
          <t>Save 3 separate drafts; Validate+Apply each; click Rollback on second-most-recent</t>
        </is>
      </c>
      <c r="G22" s="14" t="inlineStr">
        <is>
          <t>Each Apply increments version id; Rollback creates draft; applying it reverts state</t>
        </is>
      </c>
      <c r="H22" s="14" t="inlineStr">
        <is>
          <t>Not Run</t>
        </is>
      </c>
      <c r="I22" s="14" t="inlineStr"/>
      <c r="J22" s="14" t="inlineStr"/>
      <c r="K22" s="14" t="inlineStr"/>
      <c r="L22" s="14" t="inlineStr"/>
      <c r="M22" s="14" t="inlineStr"/>
    </row>
    <row r="23" ht="55" customHeight="1">
      <c r="A23" s="14" t="inlineStr">
        <is>
          <t>TC-C-002</t>
        </is>
      </c>
      <c r="B23" s="14" t="inlineStr">
        <is>
          <t>Configuration</t>
        </is>
      </c>
      <c r="C23" s="16" t="inlineStr">
        <is>
          <t>P2</t>
        </is>
      </c>
      <c r="D23" s="14" t="inlineStr">
        <is>
          <t>Apply rejects invalid config</t>
        </is>
      </c>
      <c r="E23" s="14" t="inlineStr">
        <is>
          <t>—</t>
        </is>
      </c>
      <c r="F23" s="14" t="inlineStr">
        <is>
          <t>Craft draft with invalid value (e.g. BrokerPort=99999); click Validate</t>
        </is>
      </c>
      <c r="G23" s="14" t="inlineStr">
        <is>
          <t>Validation fails with clear field+constraint message; Apply stays disabled</t>
        </is>
      </c>
      <c r="H23" s="14" t="inlineStr">
        <is>
          <t>Not Run</t>
        </is>
      </c>
      <c r="I23" s="14" t="inlineStr"/>
      <c r="J23" s="14" t="inlineStr"/>
      <c r="K23" s="14" t="inlineStr"/>
      <c r="L23" s="14" t="inlineStr"/>
      <c r="M23" s="14" t="inlineStr"/>
    </row>
    <row r="24" ht="55" customHeight="1">
      <c r="A24" s="14" t="inlineStr">
        <is>
          <t>TC-C-003</t>
        </is>
      </c>
      <c r="B24" s="14" t="inlineStr">
        <is>
          <t>Configuration</t>
        </is>
      </c>
      <c r="C24" s="16" t="inlineStr">
        <is>
          <t>P2</t>
        </is>
      </c>
      <c r="D24" s="14" t="inlineStr">
        <is>
          <t>Configuration history</t>
        </is>
      </c>
      <c r="E24" s="14" t="inlineStr">
        <is>
          <t>≥5 applies done</t>
        </is>
      </c>
      <c r="F24" s="14" t="inlineStr">
        <is>
          <t>Config → History tab</t>
        </is>
      </c>
      <c r="G24" s="14" t="inlineStr">
        <is>
          <t>All versions listed with timestamps, version ids, actor names; each clickable to view contents</t>
        </is>
      </c>
      <c r="H24" s="14" t="inlineStr">
        <is>
          <t>Not Run</t>
        </is>
      </c>
      <c r="I24" s="14" t="inlineStr"/>
      <c r="J24" s="14" t="inlineStr"/>
      <c r="K24" s="14" t="inlineStr"/>
      <c r="L24" s="14" t="inlineStr"/>
      <c r="M24" s="14" t="inlineStr"/>
    </row>
    <row r="25" ht="55" customHeight="1">
      <c r="A25" s="14" t="inlineStr">
        <is>
          <t>TC-C-004</t>
        </is>
      </c>
      <c r="B25" s="14" t="inlineStr">
        <is>
          <t>Configuration</t>
        </is>
      </c>
      <c r="C25" s="16" t="inlineStr">
        <is>
          <t>P2</t>
        </is>
      </c>
      <c r="D25" s="14" t="inlineStr">
        <is>
          <t>Backup export</t>
        </is>
      </c>
      <c r="E25" s="14" t="inlineStr">
        <is>
          <t>Pipeline configured</t>
        </is>
      </c>
      <c r="F25" s="14" t="inlineStr">
        <is>
          <t>Config → Export backup → download</t>
        </is>
      </c>
      <c r="G25" s="14" t="inlineStr">
        <is>
          <t>Archive contains gateway.json + history; NO plaintext secrets/passwords</t>
        </is>
      </c>
      <c r="H25" s="14" t="inlineStr">
        <is>
          <t>Not Run</t>
        </is>
      </c>
      <c r="I25" s="14" t="inlineStr"/>
      <c r="J25" s="14" t="inlineStr"/>
      <c r="K25" s="14" t="inlineStr"/>
      <c r="L25" s="14" t="inlineStr"/>
      <c r="M25" s="14" t="inlineStr"/>
    </row>
    <row r="26" ht="55" customHeight="1">
      <c r="A26" s="14" t="inlineStr">
        <is>
          <t>TC-C-005</t>
        </is>
      </c>
      <c r="B26" s="14" t="inlineStr">
        <is>
          <t>Configuration</t>
        </is>
      </c>
      <c r="C26" s="16" t="inlineStr">
        <is>
          <t>P2</t>
        </is>
      </c>
      <c r="D26" s="14" t="inlineStr">
        <is>
          <t>Backup restore</t>
        </is>
      </c>
      <c r="E26" s="14" t="inlineStr">
        <is>
          <t>Backup from TC-C-004 exists</t>
        </is>
      </c>
      <c r="F26" s="14" t="inlineStr">
        <is>
          <t>Delete sources/sinks; restore from backup</t>
        </is>
      </c>
      <c r="G26" s="14" t="inlineStr">
        <is>
          <t>Original config reproduced bit-for-bit (modulo timestamps); data flow resumes</t>
        </is>
      </c>
      <c r="H26" s="14" t="inlineStr">
        <is>
          <t>Not Run</t>
        </is>
      </c>
      <c r="I26" s="14" t="inlineStr"/>
      <c r="J26" s="14" t="inlineStr"/>
      <c r="K26" s="14" t="inlineStr"/>
      <c r="L26" s="14" t="inlineStr"/>
      <c r="M26" s="14" t="inlineStr"/>
    </row>
    <row r="27" ht="55" customHeight="1">
      <c r="A27" s="14" t="inlineStr">
        <is>
          <t>TC-C-006</t>
        </is>
      </c>
      <c r="B27" s="14" t="inlineStr">
        <is>
          <t>Configuration</t>
        </is>
      </c>
      <c r="C27" s="17" t="inlineStr">
        <is>
          <t>P3</t>
        </is>
      </c>
      <c r="D27" s="14" t="inlineStr">
        <is>
          <t>Filter rules drop expected tags</t>
        </is>
      </c>
      <c r="E27" s="14" t="inlineStr">
        <is>
          <t>Route with filter that excludes parts_count</t>
        </is>
      </c>
      <c r="F27" s="14" t="inlineStr">
        <is>
          <t>Apply route; subscribe in UaExpert</t>
        </is>
      </c>
      <c r="G27" s="14" t="inlineStr">
        <is>
          <t>All other tags update; parts_count does not appear or never updates</t>
        </is>
      </c>
      <c r="H27" s="14" t="inlineStr">
        <is>
          <t>Not Run</t>
        </is>
      </c>
      <c r="I27" s="14" t="inlineStr"/>
      <c r="J27" s="14" t="inlineStr"/>
      <c r="K27" s="14" t="inlineStr"/>
      <c r="L27" s="14" t="inlineStr"/>
      <c r="M27" s="14" t="inlineStr"/>
    </row>
    <row r="28" ht="55" customHeight="1">
      <c r="A28" s="14" t="inlineStr">
        <is>
          <t>TC-C-007</t>
        </is>
      </c>
      <c r="B28" s="14" t="inlineStr">
        <is>
          <t>Configuration</t>
        </is>
      </c>
      <c r="C28" s="17" t="inlineStr">
        <is>
          <t>P3</t>
        </is>
      </c>
      <c r="D28" s="14" t="inlineStr">
        <is>
          <t>Transform deadband suppresses small changes</t>
        </is>
      </c>
      <c r="E28" s="14" t="inlineStr">
        <is>
          <t>Deadband threshold=5 on spindle_load</t>
        </is>
      </c>
      <c r="F28" s="14" t="inlineStr">
        <is>
          <t>Apply route; observe in UaExpert</t>
        </is>
      </c>
      <c r="G28" s="14" t="inlineStr">
        <is>
          <t>Small fluctuations (&lt;5) suppressed; large jumps (≥5) propagate</t>
        </is>
      </c>
      <c r="H28" s="14" t="inlineStr">
        <is>
          <t>Not Run</t>
        </is>
      </c>
      <c r="I28" s="14" t="inlineStr"/>
      <c r="J28" s="14" t="inlineStr"/>
      <c r="K28" s="14" t="inlineStr"/>
      <c r="L28" s="14" t="inlineStr"/>
      <c r="M28" s="14" t="inlineStr"/>
    </row>
    <row r="29" ht="55" customHeight="1">
      <c r="A29" s="14" t="inlineStr">
        <is>
          <t>TC-P-001</t>
        </is>
      </c>
      <c r="B29" s="14" t="inlineStr">
        <is>
          <t>Performance</t>
        </is>
      </c>
      <c r="C29" s="15" t="inlineStr">
        <is>
          <t>P1</t>
        </is>
      </c>
      <c r="D29" s="14" t="inlineStr">
        <is>
          <t>Baseline 10 tags @ 1s scan rate</t>
        </is>
      </c>
      <c r="E29" s="14" t="inlineStr">
        <is>
          <t>10-tag source + 1 sink + 1 UaExpert subscriber</t>
        </is>
      </c>
      <c r="F29" s="14" t="inlineStr">
        <is>
          <t>Run 1 hour; capture CPU/RAM/poll counts every 5min</t>
        </is>
      </c>
      <c r="G29" s="14" t="inlineStr">
        <is>
          <t>CPU&lt;5%; RAM growth&lt;50MB; drop rate=0</t>
        </is>
      </c>
      <c r="H29" s="14" t="inlineStr">
        <is>
          <t>Not Run</t>
        </is>
      </c>
      <c r="I29" s="14" t="inlineStr"/>
      <c r="J29" s="14" t="inlineStr"/>
      <c r="K29" s="14" t="inlineStr"/>
      <c r="L29" s="14" t="inlineStr"/>
      <c r="M29" s="14" t="inlineStr"/>
    </row>
    <row r="30" ht="55" customHeight="1">
      <c r="A30" s="14" t="inlineStr">
        <is>
          <t>TC-P-002</t>
        </is>
      </c>
      <c r="B30" s="14" t="inlineStr">
        <is>
          <t>Performance</t>
        </is>
      </c>
      <c r="C30" s="16" t="inlineStr">
        <is>
          <t>P2</t>
        </is>
      </c>
      <c r="D30" s="14" t="inlineStr">
        <is>
          <t>50 tags @ 500ms scan rate</t>
        </is>
      </c>
      <c r="E30" s="14" t="inlineStr">
        <is>
          <t>50-tag source</t>
        </is>
      </c>
      <c r="F30" s="14" t="inlineStr">
        <is>
          <t>Run 1 hour; same metrics as P-001</t>
        </is>
      </c>
      <c r="G30" s="14" t="inlineStr">
        <is>
          <t>CPU&lt;20%; RAM growth&lt;200MB; drop rate=0; all 50 tags update</t>
        </is>
      </c>
      <c r="H30" s="14" t="inlineStr">
        <is>
          <t>Not Run</t>
        </is>
      </c>
      <c r="I30" s="14" t="inlineStr"/>
      <c r="J30" s="14" t="inlineStr"/>
      <c r="K30" s="14" t="inlineStr"/>
      <c r="L30" s="14" t="inlineStr"/>
      <c r="M30" s="14" t="inlineStr"/>
    </row>
    <row r="31" ht="55" customHeight="1">
      <c r="A31" s="14" t="inlineStr">
        <is>
          <t>TC-P-003</t>
        </is>
      </c>
      <c r="B31" s="14" t="inlineStr">
        <is>
          <t>Performance</t>
        </is>
      </c>
      <c r="C31" s="16" t="inlineStr">
        <is>
          <t>P2</t>
        </is>
      </c>
      <c r="D31" s="14" t="inlineStr">
        <is>
          <t>Multiple OPC UA clients</t>
        </is>
      </c>
      <c r="E31" s="14" t="inlineStr">
        <is>
          <t>5 UaExpert instances</t>
        </is>
      </c>
      <c r="F31" s="14" t="inlineStr">
        <is>
          <t>Each subscribes to all 10 tags; 30 min</t>
        </is>
      </c>
      <c r="G31" s="14" t="inlineStr">
        <is>
          <t>All 5 receive identical streams; no Bad codes; CPU stable</t>
        </is>
      </c>
      <c r="H31" s="14" t="inlineStr">
        <is>
          <t>Not Run</t>
        </is>
      </c>
      <c r="I31" s="14" t="inlineStr"/>
      <c r="J31" s="14" t="inlineStr"/>
      <c r="K31" s="14" t="inlineStr"/>
      <c r="L31" s="14" t="inlineStr"/>
      <c r="M31" s="14" t="inlineStr"/>
    </row>
    <row r="32" ht="55" customHeight="1">
      <c r="A32" s="14" t="inlineStr">
        <is>
          <t>TC-P-004</t>
        </is>
      </c>
      <c r="B32" s="14" t="inlineStr">
        <is>
          <t>Performance</t>
        </is>
      </c>
      <c r="C32" s="17" t="inlineStr">
        <is>
          <t>P3</t>
        </is>
      </c>
      <c r="D32" s="14" t="inlineStr">
        <is>
          <t>OPC UA Read latency</t>
        </is>
      </c>
      <c r="E32" s="14" t="inlineStr">
        <is>
          <t>—</t>
        </is>
      </c>
      <c r="F32" s="14" t="inlineStr">
        <is>
          <t>UaExpert Read on single tag x50; compute average + p99</t>
        </is>
      </c>
      <c r="G32" s="14" t="inlineStr">
        <is>
          <t>Average&lt;50ms over loopback; p99&lt;200ms</t>
        </is>
      </c>
      <c r="H32" s="14" t="inlineStr">
        <is>
          <t>Not Run</t>
        </is>
      </c>
      <c r="I32" s="14" t="inlineStr"/>
      <c r="J32" s="14" t="inlineStr"/>
      <c r="K32" s="14" t="inlineStr"/>
      <c r="L32" s="14" t="inlineStr"/>
      <c r="M32" s="14" t="inlineStr"/>
    </row>
    <row r="33" ht="55" customHeight="1">
      <c r="A33" s="14" t="inlineStr">
        <is>
          <t>TC-P-005</t>
        </is>
      </c>
      <c r="B33" s="14" t="inlineStr">
        <is>
          <t>Performance</t>
        </is>
      </c>
      <c r="C33" s="17" t="inlineStr">
        <is>
          <t>P3</t>
        </is>
      </c>
      <c r="D33" s="14" t="inlineStr">
        <is>
          <t>Subscription notification latency</t>
        </is>
      </c>
      <c r="E33" s="14" t="inlineStr">
        <is>
          <t>Sentinel write tooling</t>
        </is>
      </c>
      <c r="F33" s="14" t="inlineStr">
        <is>
          <t>Time from simulator write → UaExpert receive; p99 calc</t>
        </is>
      </c>
      <c r="G33" s="14" t="inlineStr">
        <is>
          <t>p99&lt;2×scan interval</t>
        </is>
      </c>
      <c r="H33" s="14" t="inlineStr">
        <is>
          <t>Not Run</t>
        </is>
      </c>
      <c r="I33" s="14" t="inlineStr"/>
      <c r="J33" s="14" t="inlineStr"/>
      <c r="K33" s="14" t="inlineStr"/>
      <c r="L33" s="14" t="inlineStr"/>
      <c r="M33" s="14" t="inlineStr"/>
    </row>
    <row r="34" ht="55" customHeight="1">
      <c r="A34" s="14" t="inlineStr">
        <is>
          <t>TC-R-001</t>
        </is>
      </c>
      <c r="B34" s="14" t="inlineStr">
        <is>
          <t>Reliability</t>
        </is>
      </c>
      <c r="C34" s="15" t="inlineStr">
        <is>
          <t>P1</t>
        </is>
      </c>
      <c r="D34" s="14" t="inlineStr">
        <is>
          <t>Modbus simulator killed mid-stream</t>
        </is>
      </c>
      <c r="E34" s="14" t="inlineStr">
        <is>
          <t>Pipeline running</t>
        </is>
      </c>
      <c r="F34" s="14" t="inlineStr">
        <is>
          <t>Kill Python sim process; observe 60s; restart sim</t>
        </is>
      </c>
      <c r="G34" s="14" t="inlineStr">
        <is>
          <t>Within 10s: source Faulted/Reconnecting; UaExpert qual drops; within 5s of restart: Running again</t>
        </is>
      </c>
      <c r="H34" s="14" t="inlineStr">
        <is>
          <t>Not Run</t>
        </is>
      </c>
      <c r="I34" s="14" t="inlineStr"/>
      <c r="J34" s="14" t="inlineStr"/>
      <c r="K34" s="14" t="inlineStr"/>
      <c r="L34" s="14" t="inlineStr"/>
      <c r="M34" s="14" t="inlineStr"/>
    </row>
    <row r="35" ht="55" customHeight="1">
      <c r="A35" s="14" t="inlineStr">
        <is>
          <t>TC-R-002</t>
        </is>
      </c>
      <c r="B35" s="14" t="inlineStr">
        <is>
          <t>Reliability</t>
        </is>
      </c>
      <c r="C35" s="16" t="inlineStr">
        <is>
          <t>P2</t>
        </is>
      </c>
      <c r="D35" s="14" t="inlineStr">
        <is>
          <t>OPC UA Server restart preserves NodeId stability</t>
        </is>
      </c>
      <c r="E35" s="14" t="inlineStr">
        <is>
          <t>—</t>
        </is>
      </c>
      <c r="F35" s="14" t="inlineStr">
        <is>
          <t>Note NodeId in UaExpert; disable sink → drained → re-enable; note NodeId again</t>
        </is>
      </c>
      <c r="G35" s="14" t="inlineStr">
        <is>
          <t>NodeId identical before/after; programmatic pin would survive</t>
        </is>
      </c>
      <c r="H35" s="14" t="inlineStr">
        <is>
          <t>Not Run</t>
        </is>
      </c>
      <c r="I35" s="14" t="inlineStr"/>
      <c r="J35" s="14" t="inlineStr"/>
      <c r="K35" s="14" t="inlineStr"/>
      <c r="L35" s="14" t="inlineStr"/>
      <c r="M35" s="14" t="inlineStr"/>
    </row>
    <row r="36" ht="55" customHeight="1">
      <c r="A36" s="14" t="inlineStr">
        <is>
          <t>TC-R-003</t>
        </is>
      </c>
      <c r="B36" s="14" t="inlineStr">
        <is>
          <t>Reliability</t>
        </is>
      </c>
      <c r="C36" s="15" t="inlineStr">
        <is>
          <t>P1</t>
        </is>
      </c>
      <c r="D36" s="14" t="inlineStr">
        <is>
          <t>EdgeConnect service restart preserves data</t>
        </is>
      </c>
      <c r="E36" s="14" t="inlineStr">
        <is>
          <t>—</t>
        </is>
      </c>
      <c r="F36" s="14" t="inlineStr">
        <is>
          <t>Stop EdgeConnect; restart; UaExpert auto-reconnects</t>
        </is>
      </c>
      <c r="G36" s="14" t="inlineStr">
        <is>
          <t>Config preserved; flow resumes within 30s; no buffered-data loss for SAF sinks</t>
        </is>
      </c>
      <c r="H36" s="14" t="inlineStr">
        <is>
          <t>Not Run</t>
        </is>
      </c>
      <c r="I36" s="14" t="inlineStr"/>
      <c r="J36" s="14" t="inlineStr"/>
      <c r="K36" s="14" t="inlineStr"/>
      <c r="L36" s="14" t="inlineStr"/>
      <c r="M36" s="14" t="inlineStr"/>
    </row>
    <row r="37" ht="55" customHeight="1">
      <c r="A37" s="14" t="inlineStr">
        <is>
          <t>TC-R-004</t>
        </is>
      </c>
      <c r="B37" s="14" t="inlineStr">
        <is>
          <t>Reliability</t>
        </is>
      </c>
      <c r="C37" s="16" t="inlineStr">
        <is>
          <t>P2</t>
        </is>
      </c>
      <c r="D37" s="14" t="inlineStr">
        <is>
          <t>Network partition with store-and-forward (MQTT route)</t>
        </is>
      </c>
      <c r="E37" s="14" t="inlineStr">
        <is>
          <t>MQTT sink wired alongside OPC UA</t>
        </is>
      </c>
      <c r="F37" s="14" t="inlineStr">
        <is>
          <t>Stop Mosquitto; let buffer grow 5min; restart Mosquitto</t>
        </is>
      </c>
      <c r="G37" s="14" t="inlineStr">
        <is>
          <t>OPC UA unaffected; MQTT sink Buffering; buffer drains in order on restart</t>
        </is>
      </c>
      <c r="H37" s="14" t="inlineStr">
        <is>
          <t>Not Run</t>
        </is>
      </c>
      <c r="I37" s="14" t="inlineStr"/>
      <c r="J37" s="14" t="inlineStr"/>
      <c r="K37" s="14" t="inlineStr"/>
      <c r="L37" s="14" t="inlineStr"/>
      <c r="M37" s="14" t="inlineStr"/>
    </row>
    <row r="38" ht="55" customHeight="1">
      <c r="A38" s="14" t="inlineStr">
        <is>
          <t>TC-R-005</t>
        </is>
      </c>
      <c r="B38" s="14" t="inlineStr">
        <is>
          <t>Reliability</t>
        </is>
      </c>
      <c r="C38" s="16" t="inlineStr">
        <is>
          <t>P2</t>
        </is>
      </c>
      <c r="D38" s="14" t="inlineStr">
        <is>
          <t>8-hour soak test</t>
        </is>
      </c>
      <c r="E38" s="14" t="inlineStr">
        <is>
          <t>30 tags @ 500ms</t>
        </is>
      </c>
      <c r="F38" s="14" t="inlineStr">
        <is>
          <t>Run continuously 8h; hourly metrics</t>
        </is>
      </c>
      <c r="G38" s="14" t="inlineStr">
        <is>
          <t>No crashes; RAM plateau within 2h; no monotonic growth; updates remain timely</t>
        </is>
      </c>
      <c r="H38" s="14" t="inlineStr">
        <is>
          <t>Not Run</t>
        </is>
      </c>
      <c r="I38" s="14" t="inlineStr"/>
      <c r="J38" s="14" t="inlineStr"/>
      <c r="K38" s="14" t="inlineStr"/>
      <c r="L38" s="14" t="inlineStr"/>
      <c r="M38" s="14" t="inlineStr"/>
    </row>
    <row r="39" ht="55" customHeight="1">
      <c r="A39" s="14" t="inlineStr">
        <is>
          <t>TC-R-006</t>
        </is>
      </c>
      <c r="B39" s="14" t="inlineStr">
        <is>
          <t>Reliability</t>
        </is>
      </c>
      <c r="C39" s="17" t="inlineStr">
        <is>
          <t>P3</t>
        </is>
      </c>
      <c r="D39" s="14" t="inlineStr">
        <is>
          <t>24-hour soak (extended)</t>
        </is>
      </c>
      <c r="E39" s="14" t="inlineStr">
        <is>
          <t>Same as R-005</t>
        </is>
      </c>
      <c r="F39" s="14" t="inlineStr">
        <is>
          <t>Run 24h; document any memory step-changes</t>
        </is>
      </c>
      <c r="G39" s="14" t="inlineStr">
        <is>
          <t>Same as R-005 over 24h window</t>
        </is>
      </c>
      <c r="H39" s="14" t="inlineStr">
        <is>
          <t>Not Run</t>
        </is>
      </c>
      <c r="I39" s="14" t="inlineStr"/>
      <c r="J39" s="14" t="inlineStr"/>
      <c r="K39" s="14" t="inlineStr"/>
      <c r="L39" s="14" t="inlineStr"/>
      <c r="M39" s="14" t="inlineStr"/>
    </row>
    <row r="40" ht="55" customHeight="1">
      <c r="A40" s="14" t="inlineStr">
        <is>
          <t>TC-R-007</t>
        </is>
      </c>
      <c r="B40" s="14" t="inlineStr">
        <is>
          <t>Reliability</t>
        </is>
      </c>
      <c r="C40" s="17" t="inlineStr">
        <is>
          <t>P3</t>
        </is>
      </c>
      <c r="D40" s="14" t="inlineStr">
        <is>
          <t>Concurrent edits from two browsers</t>
        </is>
      </c>
      <c r="E40" s="14" t="inlineStr">
        <is>
          <t>—</t>
        </is>
      </c>
      <c r="F40" s="14" t="inlineStr">
        <is>
          <t>Covered in TC-F-020; verified here for absence of crash/corruption</t>
        </is>
      </c>
      <c r="G40" s="14" t="inlineStr">
        <is>
          <t>No data corruption, no crash; same outcome as F-020</t>
        </is>
      </c>
      <c r="H40" s="14" t="inlineStr">
        <is>
          <t>Not Run</t>
        </is>
      </c>
      <c r="I40" s="14" t="inlineStr"/>
      <c r="J40" s="14" t="inlineStr"/>
      <c r="K40" s="14" t="inlineStr"/>
      <c r="L40" s="14" t="inlineStr"/>
      <c r="M40" s="14" t="inlineStr"/>
    </row>
    <row r="41" ht="55" customHeight="1">
      <c r="A41" s="14" t="inlineStr">
        <is>
          <t>TC-RC-001</t>
        </is>
      </c>
      <c r="B41" s="14" t="inlineStr">
        <is>
          <t>Recovery</t>
        </is>
      </c>
      <c r="C41" s="15" t="inlineStr">
        <is>
          <t>P1</t>
        </is>
      </c>
      <c r="D41" s="14" t="inlineStr">
        <is>
          <t>Source faulted → disable → re-enable</t>
        </is>
      </c>
      <c r="E41" s="14" t="inlineStr">
        <is>
          <t>—</t>
        </is>
      </c>
      <c r="F41" s="14" t="inlineStr">
        <is>
          <t>Configure source with wrong port; goes Faulted; Disable; Edit→fix port; Enable</t>
        </is>
      </c>
      <c r="G41" s="14" t="inlineStr">
        <is>
          <t>Transitions Stopped→Starting→Running; UaExpert updates resume</t>
        </is>
      </c>
      <c r="H41" s="14" t="inlineStr">
        <is>
          <t>Not Run</t>
        </is>
      </c>
      <c r="I41" s="14" t="inlineStr"/>
      <c r="J41" s="14" t="inlineStr"/>
      <c r="K41" s="14" t="inlineStr"/>
      <c r="L41" s="14" t="inlineStr"/>
      <c r="M41" s="14" t="inlineStr"/>
    </row>
    <row r="42" ht="55" customHeight="1">
      <c r="A42" s="14" t="inlineStr">
        <is>
          <t>TC-RC-002</t>
        </is>
      </c>
      <c r="B42" s="14" t="inlineStr">
        <is>
          <t>Recovery</t>
        </is>
      </c>
      <c r="C42" s="16" t="inlineStr">
        <is>
          <t>P2</t>
        </is>
      </c>
      <c r="D42" s="14" t="inlineStr">
        <is>
          <t>Drain state during disable</t>
        </is>
      </c>
      <c r="E42" s="14" t="inlineStr">
        <is>
          <t>Slow sink or saturated route</t>
        </is>
      </c>
      <c r="F42" s="14" t="inlineStr">
        <is>
          <t>Disable mid-publishing</t>
        </is>
      </c>
      <c r="G42" s="14" t="inlineStr">
        <is>
          <t>Sink shows Draining; Action button disabled with tooltip; eventually Stopped</t>
        </is>
      </c>
      <c r="H42" s="14" t="inlineStr">
        <is>
          <t>Not Run</t>
        </is>
      </c>
      <c r="I42" s="14" t="inlineStr"/>
      <c r="J42" s="14" t="inlineStr"/>
      <c r="K42" s="14" t="inlineStr"/>
      <c r="L42" s="14" t="inlineStr"/>
      <c r="M42" s="14" t="inlineStr"/>
    </row>
    <row r="43" ht="55" customHeight="1">
      <c r="A43" s="14" t="inlineStr">
        <is>
          <t>TC-RC-003</t>
        </is>
      </c>
      <c r="B43" s="14" t="inlineStr">
        <is>
          <t>Recovery</t>
        </is>
      </c>
      <c r="C43" s="16" t="inlineStr">
        <is>
          <t>P2</t>
        </is>
      </c>
      <c r="D43" s="14" t="inlineStr">
        <is>
          <t>Apply with invalid config preserves previous</t>
        </is>
      </c>
      <c r="E43" s="14" t="inlineStr">
        <is>
          <t>—</t>
        </is>
      </c>
      <c r="F43" s="14" t="inlineStr">
        <is>
          <t>Craft broken draft; attempt Apply</t>
        </is>
      </c>
      <c r="G43" s="14" t="inlineStr">
        <is>
          <t>Apply fails with diagnostic; running config unchanged; pipeline keeps flowing</t>
        </is>
      </c>
      <c r="H43" s="14" t="inlineStr">
        <is>
          <t>Not Run</t>
        </is>
      </c>
      <c r="I43" s="14" t="inlineStr"/>
      <c r="J43" s="14" t="inlineStr"/>
      <c r="K43" s="14" t="inlineStr"/>
      <c r="L43" s="14" t="inlineStr"/>
      <c r="M43" s="14" t="inlineStr"/>
    </row>
    <row r="44" ht="55" customHeight="1">
      <c r="A44" s="14" t="inlineStr">
        <is>
          <t>TC-RC-004</t>
        </is>
      </c>
      <c r="B44" s="14" t="inlineStr">
        <is>
          <t>Recovery</t>
        </is>
      </c>
      <c r="C44" s="17" t="inlineStr">
        <is>
          <t>P3</t>
        </is>
      </c>
      <c r="D44" s="14" t="inlineStr">
        <is>
          <t>Service kill during apply</t>
        </is>
      </c>
      <c r="E44" s="14" t="inlineStr">
        <is>
          <t>—</t>
        </is>
      </c>
      <c r="F44" s="14" t="inlineStr">
        <is>
          <t>Force-kill EdgeConnect during apply window</t>
        </is>
      </c>
      <c r="G44" s="14" t="inlineStr">
        <is>
          <t>Restart picks previous OR new (never mixed); history shows clear outcome</t>
        </is>
      </c>
      <c r="H44" s="14" t="inlineStr">
        <is>
          <t>Not Run</t>
        </is>
      </c>
      <c r="I44" s="14" t="inlineStr"/>
      <c r="J44" s="14" t="inlineStr"/>
      <c r="K44" s="14" t="inlineStr"/>
      <c r="L44" s="14" t="inlineStr"/>
      <c r="M44" s="14" t="inlineStr"/>
    </row>
    <row r="45" ht="55" customHeight="1">
      <c r="A45" s="14" t="inlineStr">
        <is>
          <t>TC-RC-005</t>
        </is>
      </c>
      <c r="B45" s="14" t="inlineStr">
        <is>
          <t>Recovery</t>
        </is>
      </c>
      <c r="C45" s="17" t="inlineStr">
        <is>
          <t>P3</t>
        </is>
      </c>
      <c r="D45" s="14" t="inlineStr">
        <is>
          <t>Disk full during draft save</t>
        </is>
      </c>
      <c r="E45" s="14" t="inlineStr">
        <is>
          <t>Buffer volume near 100%</t>
        </is>
      </c>
      <c r="F45" s="14" t="inlineStr">
        <is>
          <t>Attempt draft save</t>
        </is>
      </c>
      <c r="G45" s="14" t="inlineStr">
        <is>
          <t>Save fails with clear error; existing buffered data preserved</t>
        </is>
      </c>
      <c r="H45" s="14" t="inlineStr">
        <is>
          <t>Not Run</t>
        </is>
      </c>
      <c r="I45" s="14" t="inlineStr"/>
      <c r="J45" s="14" t="inlineStr"/>
      <c r="K45" s="14" t="inlineStr"/>
      <c r="L45" s="14" t="inlineStr"/>
      <c r="M45" s="14" t="inlineStr"/>
    </row>
    <row r="46" ht="55" customHeight="1">
      <c r="A46" s="14" t="inlineStr">
        <is>
          <t>TC-S-001</t>
        </is>
      </c>
      <c r="B46" s="14" t="inlineStr">
        <is>
          <t>Security</t>
        </is>
      </c>
      <c r="C46" s="15" t="inlineStr">
        <is>
          <t>P1</t>
        </is>
      </c>
      <c r="D46" s="14" t="inlineStr">
        <is>
          <t>OPC UA Security None + Anonymous</t>
        </is>
      </c>
      <c r="E46" s="14" t="inlineStr">
        <is>
          <t>Covered by TC-F-006</t>
        </is>
      </c>
      <c r="F46" s="14" t="inlineStr">
        <is>
          <t>Re-execute F-006 with security None + anonymous</t>
        </is>
      </c>
      <c r="G46" s="14" t="inlineStr">
        <is>
          <t>Connects and serves tags</t>
        </is>
      </c>
      <c r="H46" s="14" t="inlineStr">
        <is>
          <t>Not Run</t>
        </is>
      </c>
      <c r="I46" s="14" t="inlineStr"/>
      <c r="J46" s="14" t="inlineStr"/>
      <c r="K46" s="14" t="inlineStr"/>
      <c r="L46" s="14" t="inlineStr"/>
      <c r="M46" s="14" t="inlineStr"/>
    </row>
    <row r="47" ht="55" customHeight="1">
      <c r="A47" s="14" t="inlineStr">
        <is>
          <t>TC-S-002</t>
        </is>
      </c>
      <c r="B47" s="14" t="inlineStr">
        <is>
          <t>Security</t>
        </is>
      </c>
      <c r="C47" s="16" t="inlineStr">
        <is>
          <t>P2</t>
        </is>
      </c>
      <c r="D47" s="14" t="inlineStr">
        <is>
          <t>OPC UA Sign mode shows runtime warning</t>
        </is>
      </c>
      <c r="E47" s="14" t="inlineStr">
        <is>
          <t>—</t>
        </is>
      </c>
      <c r="F47" s="14" t="inlineStr">
        <is>
          <t>OpcUa wizard → SecurityMode=Sign → Save → Apply</t>
        </is>
      </c>
      <c r="G47" s="14" t="inlineStr">
        <is>
          <t>Wizard shows release-prerequisite Warning; on apply OPCUA.SECURITY_NOT_YET_IMPLEMENTED logged</t>
        </is>
      </c>
      <c r="H47" s="14" t="inlineStr">
        <is>
          <t>Not Run</t>
        </is>
      </c>
      <c r="I47" s="14" t="inlineStr"/>
      <c r="J47" s="14" t="inlineStr"/>
      <c r="K47" s="14" t="inlineStr"/>
      <c r="L47" s="14" t="inlineStr"/>
      <c r="M47" s="14" t="inlineStr"/>
    </row>
    <row r="48" ht="55" customHeight="1">
      <c r="A48" s="14" t="inlineStr">
        <is>
          <t>TC-S-003</t>
        </is>
      </c>
      <c r="B48" s="14" t="inlineStr">
        <is>
          <t>Security</t>
        </is>
      </c>
      <c r="C48" s="17" t="inlineStr">
        <is>
          <t>P3</t>
        </is>
      </c>
      <c r="D48" s="14" t="inlineStr">
        <is>
          <t>UaExpert rejects Sign mode (when Milestone K lands)</t>
        </is>
      </c>
      <c r="E48" s="14" t="inlineStr">
        <is>
          <t>Milestone K — deferred</t>
        </is>
      </c>
      <c r="F48" s="14" t="inlineStr">
        <is>
          <t>Deferred</t>
        </is>
      </c>
      <c r="G48" s="14" t="inlineStr">
        <is>
          <t>Deferred — execute when Milestone K runtime enforcement ships</t>
        </is>
      </c>
      <c r="H48" s="14" t="inlineStr">
        <is>
          <t>Not Run</t>
        </is>
      </c>
      <c r="I48" s="14" t="inlineStr"/>
      <c r="J48" s="14" t="inlineStr"/>
      <c r="K48" s="14" t="inlineStr"/>
      <c r="L48" s="14" t="inlineStr"/>
      <c r="M48" s="14" t="inlineStr"/>
    </row>
    <row r="49" ht="55" customHeight="1">
      <c r="A49" s="14" t="inlineStr">
        <is>
          <t>TC-S-004</t>
        </is>
      </c>
      <c r="B49" s="14" t="inlineStr">
        <is>
          <t>Security</t>
        </is>
      </c>
      <c r="C49" s="16" t="inlineStr">
        <is>
          <t>P2</t>
        </is>
      </c>
      <c r="D49" s="14" t="inlineStr">
        <is>
          <t>Studio basic auth</t>
        </is>
      </c>
      <c r="E49" s="14" t="inlineStr">
        <is>
          <t>Auth.Mode=Basic + creds configured</t>
        </is>
      </c>
      <c r="F49" s="14" t="inlineStr">
        <is>
          <t>Restart EdgeConnect; open Studio</t>
        </is>
      </c>
      <c r="G49" s="14" t="inlineStr">
        <is>
          <t>Browser prompts; wrong creds=401; right creds=Studio loads; APIs require auth</t>
        </is>
      </c>
      <c r="H49" s="14" t="inlineStr">
        <is>
          <t>Not Run</t>
        </is>
      </c>
      <c r="I49" s="14" t="inlineStr"/>
      <c r="J49" s="14" t="inlineStr"/>
      <c r="K49" s="14" t="inlineStr"/>
      <c r="L49" s="14" t="inlineStr"/>
      <c r="M49" s="14" t="inlineStr"/>
    </row>
    <row r="50" ht="55" customHeight="1">
      <c r="A50" s="14" t="inlineStr">
        <is>
          <t>TC-S-005</t>
        </is>
      </c>
      <c r="B50" s="14" t="inlineStr">
        <is>
          <t>Security</t>
        </is>
      </c>
      <c r="C50" s="17" t="inlineStr">
        <is>
          <t>P3</t>
        </is>
      </c>
      <c r="D50" s="14" t="inlineStr">
        <is>
          <t>License module gating</t>
        </is>
      </c>
      <c r="E50" s="14" t="inlineStr">
        <is>
          <t>License missing modbus-tcp module</t>
        </is>
      </c>
      <c r="F50" s="14" t="inlineStr">
        <is>
          <t>Apply license; restart; attempt to add Modbus source</t>
        </is>
      </c>
      <c r="G50" s="14" t="inlineStr">
        <is>
          <t>Picker hides protocol OR save fails clearly; existing sources keep running; config changes blocked</t>
        </is>
      </c>
      <c r="H50" s="14" t="inlineStr">
        <is>
          <t>Not Run</t>
        </is>
      </c>
      <c r="I50" s="14" t="inlineStr"/>
      <c r="J50" s="14" t="inlineStr"/>
      <c r="K50" s="14" t="inlineStr"/>
      <c r="L50" s="14" t="inlineStr"/>
      <c r="M50" s="14" t="inlineStr"/>
    </row>
    <row r="51" ht="55" customHeight="1">
      <c r="A51" s="14" t="inlineStr">
        <is>
          <t>TC-S-006</t>
        </is>
      </c>
      <c r="B51" s="14" t="inlineStr">
        <is>
          <t>Security</t>
        </is>
      </c>
      <c r="C51" s="16" t="inlineStr">
        <is>
          <t>P2</t>
        </is>
      </c>
      <c r="D51" s="14" t="inlineStr">
        <is>
          <t>Secrets not exposed in backup</t>
        </is>
      </c>
      <c r="E51" s="14" t="inlineStr">
        <is>
          <t>MQTT sink with username/password</t>
        </is>
      </c>
      <c r="F51" s="14" t="inlineStr">
        <is>
          <t>Export backup; inspect archive</t>
        </is>
      </c>
      <c r="G51" s="14" t="inlineStr">
        <is>
          <t>password field redacted or omitted; no plaintext creds anywhere</t>
        </is>
      </c>
      <c r="H51" s="14" t="inlineStr">
        <is>
          <t>Not Run</t>
        </is>
      </c>
      <c r="I51" s="14" t="inlineStr"/>
      <c r="J51" s="14" t="inlineStr"/>
      <c r="K51" s="14" t="inlineStr"/>
      <c r="L51" s="14" t="inlineStr"/>
      <c r="M51" s="14" t="inlineStr"/>
    </row>
    <row r="52" ht="55" customHeight="1">
      <c r="A52" s="14" t="inlineStr">
        <is>
          <t>TC-D-001</t>
        </is>
      </c>
      <c r="B52" s="14" t="inlineStr">
        <is>
          <t>Diagnostics</t>
        </is>
      </c>
      <c r="C52" s="15" t="inlineStr">
        <is>
          <t>P1</t>
        </is>
      </c>
      <c r="D52" s="14" t="inlineStr">
        <is>
          <t>Source state transitions visible</t>
        </is>
      </c>
      <c r="E52" s="14" t="inlineStr">
        <is>
          <t>—</t>
        </is>
      </c>
      <c r="F52" s="14" t="inlineStr">
        <is>
          <t>Stop and start simulator; watch Sources tab Status column</t>
        </is>
      </c>
      <c r="G52" s="14" t="inlineStr">
        <is>
          <t>Observed: Running→Faulted/Reconnecting→Running; transitions in detail event log</t>
        </is>
      </c>
      <c r="H52" s="14" t="inlineStr">
        <is>
          <t>Not Run</t>
        </is>
      </c>
      <c r="I52" s="14" t="inlineStr"/>
      <c r="J52" s="14" t="inlineStr"/>
      <c r="K52" s="14" t="inlineStr"/>
      <c r="L52" s="14" t="inlineStr"/>
      <c r="M52" s="14" t="inlineStr"/>
    </row>
    <row r="53" ht="55" customHeight="1">
      <c r="A53" s="14" t="inlineStr">
        <is>
          <t>TC-D-002</t>
        </is>
      </c>
      <c r="B53" s="14" t="inlineStr">
        <is>
          <t>Diagnostics</t>
        </is>
      </c>
      <c r="C53" s="16" t="inlineStr">
        <is>
          <t>P2</t>
        </is>
      </c>
      <c r="D53" s="14" t="inlineStr">
        <is>
          <t>Diagnostic events logged</t>
        </is>
      </c>
      <c r="E53" s="14" t="inlineStr">
        <is>
          <t>—</t>
        </is>
      </c>
      <c r="F53" s="14" t="inlineStr">
        <is>
          <t>Diagnostics tab → filter by source</t>
        </is>
      </c>
      <c r="G53" s="14" t="inlineStr">
        <is>
          <t>CONNECT, DISCONNECT, FAULT, RECOVER events with timestamp + code + severity</t>
        </is>
      </c>
      <c r="H53" s="14" t="inlineStr">
        <is>
          <t>Not Run</t>
        </is>
      </c>
      <c r="I53" s="14" t="inlineStr"/>
      <c r="J53" s="14" t="inlineStr"/>
      <c r="K53" s="14" t="inlineStr"/>
      <c r="L53" s="14" t="inlineStr"/>
      <c r="M53" s="14" t="inlineStr"/>
    </row>
    <row r="54" ht="55" customHeight="1">
      <c r="A54" s="14" t="inlineStr">
        <is>
          <t>TC-D-003</t>
        </is>
      </c>
      <c r="B54" s="14" t="inlineStr">
        <is>
          <t>Diagnostics</t>
        </is>
      </c>
      <c r="C54" s="16" t="inlineStr">
        <is>
          <t>P2</t>
        </is>
      </c>
      <c r="D54" s="14" t="inlineStr">
        <is>
          <t>Prometheus metrics endpoint</t>
        </is>
      </c>
      <c r="E54" s="14" t="inlineStr">
        <is>
          <t>—</t>
        </is>
      </c>
      <c r="F54" s="14" t="inlineStr">
        <is>
          <t>curl http://127.0.0.1:5080/metrics (or actual port)</t>
        </is>
      </c>
      <c r="G54" s="14" t="inlineStr">
        <is>
          <t>Standard Prometheus format; source/sink/buffer/error counters present</t>
        </is>
      </c>
      <c r="H54" s="14" t="inlineStr">
        <is>
          <t>Not Run</t>
        </is>
      </c>
      <c r="I54" s="14" t="inlineStr"/>
      <c r="J54" s="14" t="inlineStr"/>
      <c r="K54" s="14" t="inlineStr"/>
      <c r="L54" s="14" t="inlineStr"/>
      <c r="M54" s="14" t="inlineStr"/>
    </row>
    <row r="55" ht="55" customHeight="1">
      <c r="A55" s="14" t="inlineStr">
        <is>
          <t>TC-D-004</t>
        </is>
      </c>
      <c r="B55" s="14" t="inlineStr">
        <is>
          <t>Diagnostics</t>
        </is>
      </c>
      <c r="C55" s="17" t="inlineStr">
        <is>
          <t>P3</t>
        </is>
      </c>
      <c r="D55" s="14" t="inlineStr">
        <is>
          <t>Commissioning checklist</t>
        </is>
      </c>
      <c r="E55" s="14" t="inlineStr">
        <is>
          <t>—</t>
        </is>
      </c>
      <c r="F55" s="14" t="inlineStr">
        <is>
          <t>Navigate to Commissioning tab</t>
        </is>
      </c>
      <c r="G55" s="14" t="inlineStr">
        <is>
          <t>Each check ✓/✗; identity, license, ≥1 source/sink/route, etc.</t>
        </is>
      </c>
      <c r="H55" s="14" t="inlineStr">
        <is>
          <t>Not Run</t>
        </is>
      </c>
      <c r="I55" s="14" t="inlineStr"/>
      <c r="J55" s="14" t="inlineStr"/>
      <c r="K55" s="14" t="inlineStr"/>
      <c r="L55" s="14" t="inlineStr"/>
      <c r="M55" s="14" t="inlineStr"/>
    </row>
    <row r="56" ht="55" customHeight="1">
      <c r="A56" s="14" t="inlineStr">
        <is>
          <t>TC-D-005</t>
        </is>
      </c>
      <c r="B56" s="14" t="inlineStr">
        <is>
          <t>Diagnostics</t>
        </is>
      </c>
      <c r="C56" s="17" t="inlineStr">
        <is>
          <t>P3</t>
        </is>
      </c>
      <c r="D56" s="14" t="inlineStr">
        <is>
          <t>Route ingest/egress counters</t>
        </is>
      </c>
      <c r="E56" s="14" t="inlineStr">
        <is>
          <t>—</t>
        </is>
      </c>
      <c r="F56" s="14" t="inlineStr">
        <is>
          <t>Routes tab → click into route detail</t>
        </is>
      </c>
      <c r="G56" s="14" t="inlineStr">
        <is>
          <t>Counters increment as data flows; reset on apply/restart per design</t>
        </is>
      </c>
      <c r="H56" s="14" t="inlineStr">
        <is>
          <t>Not Run</t>
        </is>
      </c>
      <c r="I56" s="14" t="inlineStr"/>
      <c r="J56" s="14" t="inlineStr"/>
      <c r="K56" s="14" t="inlineStr"/>
      <c r="L56" s="14" t="inlineStr"/>
      <c r="M56" s="14" t="inlineStr"/>
    </row>
    <row r="57" ht="55" customHeight="1">
      <c r="A57" s="14" t="inlineStr">
        <is>
          <t>TC-U-001</t>
        </is>
      </c>
      <c r="B57" s="14" t="inlineStr">
        <is>
          <t>UX/Wizard</t>
        </is>
      </c>
      <c r="C57" s="16" t="inlineStr">
        <is>
          <t>P2</t>
        </is>
      </c>
      <c r="D57" s="14" t="inlineStr">
        <is>
          <t>All 5 protocol wizards render with WizardShell</t>
        </is>
      </c>
      <c r="E57" s="14" t="inlineStr">
        <is>
          <t>—</t>
        </is>
      </c>
      <c r="F57" s="14" t="inlineStr">
        <is>
          <t>Open each: focas2, brother-http, modbus, mqtt, opcua</t>
        </is>
      </c>
      <c r="G57" s="14" t="inlineStr">
        <is>
          <t>Header band + numbered sections + footer Cancel/Save (+ Test Connection where applicable)</t>
        </is>
      </c>
      <c r="H57" s="14" t="inlineStr">
        <is>
          <t>Not Run</t>
        </is>
      </c>
      <c r="I57" s="14" t="inlineStr"/>
      <c r="J57" s="14" t="inlineStr"/>
      <c r="K57" s="14" t="inlineStr"/>
      <c r="L57" s="14" t="inlineStr"/>
      <c r="M57" s="14" t="inlineStr"/>
    </row>
    <row r="58" ht="55" customHeight="1">
      <c r="A58" s="14" t="inlineStr">
        <is>
          <t>TC-U-002</t>
        </is>
      </c>
      <c r="B58" s="14" t="inlineStr">
        <is>
          <t>UX/Wizard</t>
        </is>
      </c>
      <c r="C58" s="17" t="inlineStr">
        <is>
          <t>P3</t>
        </is>
      </c>
      <c r="D58" s="14" t="inlineStr">
        <is>
          <t>Save button copy</t>
        </is>
      </c>
      <c r="E58" s="14" t="inlineStr">
        <is>
          <t>—</t>
        </is>
      </c>
      <c r="F58" s="14" t="inlineStr">
        <is>
          <t>Open each wizard Add and Edit</t>
        </is>
      </c>
      <c r="G58" s="14" t="inlineStr">
        <is>
          <t>Add='Save as draft'; Edit='Save changes'</t>
        </is>
      </c>
      <c r="H58" s="14" t="inlineStr">
        <is>
          <t>Not Run</t>
        </is>
      </c>
      <c r="I58" s="14" t="inlineStr"/>
      <c r="J58" s="14" t="inlineStr"/>
      <c r="K58" s="14" t="inlineStr"/>
      <c r="L58" s="14" t="inlineStr"/>
      <c r="M58" s="14" t="inlineStr"/>
    </row>
    <row r="59" ht="55" customHeight="1">
      <c r="A59" s="14" t="inlineStr">
        <is>
          <t>TC-U-003</t>
        </is>
      </c>
      <c r="B59" s="14" t="inlineStr">
        <is>
          <t>UX/Wizard</t>
        </is>
      </c>
      <c r="C59" s="16" t="inlineStr">
        <is>
          <t>P2</t>
        </is>
      </c>
      <c r="D59" s="14" t="inlineStr">
        <is>
          <t>Edit mode disables InstanceId</t>
        </is>
      </c>
      <c r="E59" s="14" t="inlineStr">
        <is>
          <t>Existing entities</t>
        </is>
      </c>
      <c r="F59" s="14" t="inlineStr">
        <is>
          <t>Enter edit mode via pencil</t>
        </is>
      </c>
      <c r="G59" s="14" t="inlineStr">
        <is>
          <t>InstanceId disabled with immutability helper text</t>
        </is>
      </c>
      <c r="H59" s="14" t="inlineStr">
        <is>
          <t>Not Run</t>
        </is>
      </c>
      <c r="I59" s="14" t="inlineStr"/>
      <c r="J59" s="14" t="inlineStr"/>
      <c r="K59" s="14" t="inlineStr"/>
      <c r="L59" s="14" t="inlineStr"/>
      <c r="M59" s="14" t="inlineStr"/>
    </row>
    <row r="60" ht="55" customHeight="1">
      <c r="A60" s="14" t="inlineStr">
        <is>
          <t>TC-U-004</t>
        </is>
      </c>
      <c r="B60" s="14" t="inlineStr">
        <is>
          <t>UX/Wizard</t>
        </is>
      </c>
      <c r="C60" s="17" t="inlineStr">
        <is>
          <t>P3</t>
        </is>
      </c>
      <c r="D60" s="14" t="inlineStr">
        <is>
          <t>Test Connection button hidden for OpcUa Server</t>
        </is>
      </c>
      <c r="E60" s="14" t="inlineStr">
        <is>
          <t>—</t>
        </is>
      </c>
      <c r="F60" s="14" t="inlineStr">
        <is>
          <t>Open OPC UA Server wizard</t>
        </is>
      </c>
      <c r="G60" s="14" t="inlineStr">
        <is>
          <t>Footer = Cancel + Save only; Info alert explains no-probe carve-out</t>
        </is>
      </c>
      <c r="H60" s="14" t="inlineStr">
        <is>
          <t>Not Run</t>
        </is>
      </c>
      <c r="I60" s="14" t="inlineStr"/>
      <c r="J60" s="14" t="inlineStr"/>
      <c r="K60" s="14" t="inlineStr"/>
      <c r="L60" s="14" t="inlineStr"/>
      <c r="M60" s="14" t="inlineStr"/>
    </row>
    <row r="61" ht="55" customHeight="1">
      <c r="A61" s="14" t="inlineStr">
        <is>
          <t>TC-U-005</t>
        </is>
      </c>
      <c r="B61" s="14" t="inlineStr">
        <is>
          <t>UX/Wizard</t>
        </is>
      </c>
      <c r="C61" s="17" t="inlineStr">
        <is>
          <t>P3</t>
        </is>
      </c>
      <c r="D61" s="14" t="inlineStr">
        <is>
          <t>Cancel discards changes</t>
        </is>
      </c>
      <c r="E61" s="14" t="inlineStr">
        <is>
          <t>—</t>
        </is>
      </c>
      <c r="F61" s="14" t="inlineStr">
        <is>
          <t>Open Add wizard; fill fields; click Cancel</t>
        </is>
      </c>
      <c r="G61" s="14" t="inlineStr">
        <is>
          <t>Navigates back; no partial config persisted</t>
        </is>
      </c>
      <c r="H61" s="14" t="inlineStr">
        <is>
          <t>Not Run</t>
        </is>
      </c>
      <c r="I61" s="14" t="inlineStr"/>
      <c r="J61" s="14" t="inlineStr"/>
      <c r="K61" s="14" t="inlineStr"/>
      <c r="L61" s="14" t="inlineStr"/>
      <c r="M61" s="14" t="inlineStr"/>
    </row>
    <row r="62" ht="55" customHeight="1">
      <c r="A62" s="14" t="inlineStr">
        <is>
          <t>TC-U-006</t>
        </is>
      </c>
      <c r="B62" s="14" t="inlineStr">
        <is>
          <t>UX/Wizard</t>
        </is>
      </c>
      <c r="C62" s="17" t="inlineStr">
        <is>
          <t>P3</t>
        </is>
      </c>
      <c r="D62" s="14" t="inlineStr">
        <is>
          <t>Browser tab close discards changes</t>
        </is>
      </c>
      <c r="E62" s="14" t="inlineStr">
        <is>
          <t>—</t>
        </is>
      </c>
      <c r="F62" s="14" t="inlineStr">
        <is>
          <t>Open Add wizard; fill; close tab; reopen</t>
        </is>
      </c>
      <c r="G62" s="14" t="inlineStr">
        <is>
          <t>Fields are default (no localStorage — ADR-0015 Rule 8)</t>
        </is>
      </c>
      <c r="H62" s="14" t="inlineStr">
        <is>
          <t>Not Run</t>
        </is>
      </c>
      <c r="I62" s="14" t="inlineStr"/>
      <c r="J62" s="14" t="inlineStr"/>
      <c r="K62" s="14" t="inlineStr"/>
      <c r="L62" s="14" t="inlineStr"/>
      <c r="M62" s="14" t="inlineStr"/>
    </row>
    <row r="63" ht="55" customHeight="1">
      <c r="A63" s="14" t="inlineStr">
        <is>
          <t>TC-E-001</t>
        </is>
      </c>
      <c r="B63" s="14" t="inlineStr">
        <is>
          <t>Edge</t>
        </is>
      </c>
      <c r="C63" s="16" t="inlineStr">
        <is>
          <t>P2</t>
        </is>
      </c>
      <c r="D63" s="14" t="inlineStr">
        <is>
          <t>Empty configuration / first-run state</t>
        </is>
      </c>
      <c r="E63" s="14" t="inlineStr">
        <is>
          <t>Empty gateway.json</t>
        </is>
      </c>
      <c r="F63" s="14" t="inlineStr">
        <is>
          <t>Delete config; restart; attempt to add first source</t>
        </is>
      </c>
      <c r="G63" s="14" t="inlineStr">
        <is>
          <t>Studio loads; empty state surfaces; wizard works</t>
        </is>
      </c>
      <c r="H63" s="14" t="inlineStr">
        <is>
          <t>Not Run</t>
        </is>
      </c>
      <c r="I63" s="14" t="inlineStr"/>
      <c r="J63" s="14" t="inlineStr"/>
      <c r="K63" s="14" t="inlineStr"/>
      <c r="L63" s="14" t="inlineStr"/>
      <c r="M63" s="14" t="inlineStr"/>
    </row>
    <row r="64" ht="55" customHeight="1">
      <c r="A64" s="14" t="inlineStr">
        <is>
          <t>TC-E-002</t>
        </is>
      </c>
      <c r="B64" s="14" t="inlineStr">
        <is>
          <t>Edge</t>
        </is>
      </c>
      <c r="C64" s="17" t="inlineStr">
        <is>
          <t>P3</t>
        </is>
      </c>
      <c r="D64" s="14" t="inlineStr">
        <is>
          <t>Maximum tag count</t>
        </is>
      </c>
      <c r="E64" s="14" t="inlineStr">
        <is>
          <t>—</t>
        </is>
      </c>
      <c r="F64" s="14" t="inlineStr">
        <is>
          <t>Configure source with 200+ tags; Apply; subscribe</t>
        </is>
      </c>
      <c r="G64" s="14" t="inlineStr">
        <is>
          <t>All visible; Studio responsive; perf metrics within reasonable bounds</t>
        </is>
      </c>
      <c r="H64" s="14" t="inlineStr">
        <is>
          <t>Not Run</t>
        </is>
      </c>
      <c r="I64" s="14" t="inlineStr"/>
      <c r="J64" s="14" t="inlineStr"/>
      <c r="K64" s="14" t="inlineStr"/>
      <c r="L64" s="14" t="inlineStr"/>
      <c r="M64" s="14" t="inlineStr"/>
    </row>
    <row r="65" ht="55" customHeight="1">
      <c r="A65" s="14" t="inlineStr">
        <is>
          <t>TC-E-003</t>
        </is>
      </c>
      <c r="B65" s="14" t="inlineStr">
        <is>
          <t>Edge</t>
        </is>
      </c>
      <c r="C65" s="17" t="inlineStr">
        <is>
          <t>P3</t>
        </is>
      </c>
      <c r="D65" s="14" t="inlineStr">
        <is>
          <t>Boundary values for port</t>
        </is>
      </c>
      <c r="E65" s="14" t="inlineStr">
        <is>
          <t>—</t>
        </is>
      </c>
      <c r="F65" s="14" t="inlineStr">
        <is>
          <t>Try port=1, 65535 (valid); port=0, 65536 (invalid)</t>
        </is>
      </c>
      <c r="G65" s="14" t="inlineStr">
        <is>
          <t>1 and 65535 accepted; 0 and 65536 rejected with clear error</t>
        </is>
      </c>
      <c r="H65" s="14" t="inlineStr">
        <is>
          <t>Not Run</t>
        </is>
      </c>
      <c r="I65" s="14" t="inlineStr"/>
      <c r="J65" s="14" t="inlineStr"/>
      <c r="K65" s="14" t="inlineStr"/>
      <c r="L65" s="14" t="inlineStr"/>
      <c r="M65" s="14" t="inlineStr"/>
    </row>
    <row r="66" ht="55" customHeight="1">
      <c r="A66" s="14" t="inlineStr">
        <is>
          <t>TC-E-004</t>
        </is>
      </c>
      <c r="B66" s="14" t="inlineStr">
        <is>
          <t>Edge</t>
        </is>
      </c>
      <c r="C66" s="17" t="inlineStr">
        <is>
          <t>P3</t>
        </is>
      </c>
      <c r="D66" s="14" t="inlineStr">
        <is>
          <t>Long instance ids</t>
        </is>
      </c>
      <c r="E66" s="14" t="inlineStr">
        <is>
          <t>—</t>
        </is>
      </c>
      <c r="F66" s="14" t="inlineStr">
        <is>
          <t>Try 256-char id; try id with non-regex chars</t>
        </is>
      </c>
      <c r="G66" s="14" t="inlineStr">
        <is>
          <t>Length/regex constraints enforced; clear error messages</t>
        </is>
      </c>
      <c r="H66" s="14" t="inlineStr">
        <is>
          <t>Not Run</t>
        </is>
      </c>
      <c r="I66" s="14" t="inlineStr"/>
      <c r="J66" s="14" t="inlineStr"/>
      <c r="K66" s="14" t="inlineStr"/>
      <c r="L66" s="14" t="inlineStr"/>
      <c r="M66" s="14" t="inlineStr"/>
    </row>
    <row r="67" ht="55" customHeight="1">
      <c r="A67" s="14" t="inlineStr">
        <is>
          <t>TC-E-005</t>
        </is>
      </c>
      <c r="B67" s="14" t="inlineStr">
        <is>
          <t>Edge</t>
        </is>
      </c>
      <c r="C67" s="17" t="inlineStr">
        <is>
          <t>P3</t>
        </is>
      </c>
      <c r="D67" s="14" t="inlineStr">
        <is>
          <t>Tag name with special characters</t>
        </is>
      </c>
      <c r="E67" s="14" t="inlineStr">
        <is>
          <t>—</t>
        </is>
      </c>
      <c r="F67" s="14" t="inlineStr">
        <is>
          <t>Try valid (slashes, dots); try invalid (spaces, ?)</t>
        </is>
      </c>
      <c r="G67" s="14" t="inlineStr">
        <is>
          <t>Valid charset documented + enforced; invalid rejected</t>
        </is>
      </c>
      <c r="H67" s="14" t="inlineStr">
        <is>
          <t>Not Run</t>
        </is>
      </c>
      <c r="I67" s="14" t="inlineStr"/>
      <c r="J67" s="14" t="inlineStr"/>
      <c r="K67" s="14" t="inlineStr"/>
      <c r="L67" s="14" t="inlineStr"/>
      <c r="M67" s="14" t="inlineStr"/>
    </row>
    <row r="68" ht="55" customHeight="1">
      <c r="A68" s="14" t="inlineStr">
        <is>
          <t>TC-E-006</t>
        </is>
      </c>
      <c r="B68" s="14" t="inlineStr">
        <is>
          <t>Edge</t>
        </is>
      </c>
      <c r="C68" s="17" t="inlineStr">
        <is>
          <t>P3</t>
        </is>
      </c>
      <c r="D68" s="14" t="inlineStr">
        <is>
          <t>Reload Studio while config apply in progress</t>
        </is>
      </c>
      <c r="E68" s="14" t="inlineStr">
        <is>
          <t>—</t>
        </is>
      </c>
      <c r="F68" s="14" t="inlineStr">
        <is>
          <t>Initiate apply; F5 within 1-2s</t>
        </is>
      </c>
      <c r="G68" s="14" t="inlineStr">
        <is>
          <t>Studio reloads to consistent state (pre or post apply, never mid)</t>
        </is>
      </c>
      <c r="H68" s="14" t="inlineStr">
        <is>
          <t>Not Run</t>
        </is>
      </c>
      <c r="I68" s="14" t="inlineStr"/>
      <c r="J68" s="14" t="inlineStr"/>
      <c r="K68" s="14" t="inlineStr"/>
      <c r="L68" s="14" t="inlineStr"/>
      <c r="M68" s="14" t="inlineStr"/>
    </row>
  </sheetData>
  <autoFilter ref="A1:M68"/>
  <conditionalFormatting sqref="H2:H6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2">
    <dataValidation sqref="H2:H68" showDropDown="0" showInputMessage="0" showErrorMessage="0" allowBlank="1" errorTitle="Invalid result" error="Result must be one of: Pass, Fail, Blocked, Not Run, N/A" prompt="Pick from list" type="list">
      <formula1>"Pass,Fail,Blocked,Not Run,N/A"</formula1>
    </dataValidation>
    <dataValidation sqref="I2:I68" showDropDown="0" showInputMessage="0" showErrorMessage="0" allowBlank="1" errorTitle="Invalid severity" error="Severity must be one of: S1, S2, S3, S4, S5" prompt="Only fill when Result=Fail" type="list">
      <formula1>"S1,S2,S3,S4,S5"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2026-05-26T20:29:40Z</dcterms:created>
  <dcterms:modified xmlns:dcterms="http://purl.org/dc/terms/" xmlns:xsi="http://www.w3.org/2001/XMLSchema-instance" xsi:type="dcterms:W3CDTF">2026-05-26T20:29:40Z</dcterms:modified>
</cp:coreProperties>
</file>